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e Custos" sheetId="1" state="visible" r:id="rId1"/>
    <sheet name="Resumo por compra" sheetId="2" state="visible" r:id="rId2"/>
    <sheet name="Resumo por categoria" sheetId="3" state="visible" r:id="rId3"/>
    <sheet name="Estoque consolidado" sheetId="4" state="visible" r:id="rId4"/>
    <sheet name="Como usar" sheetId="5" state="visible" r:id="rId5"/>
  </sheets>
  <definedNames>
    <definedName name="TotalGeral">'Compras e Custos'!$H$23</definedName>
    <definedName name="_xlnm._FilterDatabase" localSheetId="0" hidden="1">'Compras e Custos'!$A$4:$J$22</definedName>
    <definedName name="_xlnm.Print_Titles" localSheetId="0">'Compras e Custos'!$1:$5</definedName>
    <definedName name="_xlnm.Print_Area" localSheetId="0">'Compras e Custos'!$A$1:$J$25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3B2414"/>
      <sz val="20"/>
    </font>
    <font>
      <name val="Calibri"/>
      <i val="1"/>
      <color rgb="007A6A58"/>
      <sz val="11"/>
    </font>
    <font>
      <name val="Calibri"/>
      <b val="1"/>
      <color rgb="00F7F0E4"/>
      <sz val="11"/>
    </font>
    <font>
      <name val="Calibri"/>
      <color rgb="002A2118"/>
      <sz val="11"/>
    </font>
    <font>
      <name val="Calibri"/>
      <b val="1"/>
      <color rgb="00F7F0E4"/>
      <sz val="12"/>
    </font>
    <font>
      <name val="Calibri"/>
      <b val="1"/>
      <color rgb="00C4A35A"/>
      <sz val="13"/>
    </font>
    <font>
      <name val="Calibri"/>
      <i val="1"/>
      <color rgb="007A6A58"/>
      <sz val="9"/>
    </font>
    <font>
      <name val="Calibri"/>
      <b val="1"/>
      <color rgb="003B2414"/>
      <sz val="18"/>
    </font>
    <font>
      <name val="Calibri"/>
      <color rgb="002A2118"/>
      <sz val="12"/>
    </font>
    <font>
      <name val="Calibri"/>
      <b val="1"/>
      <color rgb="003B2414"/>
      <sz val="11"/>
    </font>
  </fonts>
  <fills count="5">
    <fill>
      <patternFill/>
    </fill>
    <fill>
      <patternFill patternType="gray125"/>
    </fill>
    <fill>
      <patternFill patternType="solid">
        <fgColor rgb="00F7F0E4"/>
      </patternFill>
    </fill>
    <fill>
      <patternFill patternType="solid">
        <fgColor rgb="003B2414"/>
      </patternFill>
    </fill>
    <fill>
      <patternFill patternType="solid">
        <fgColor rgb="00FFFBF4"/>
      </patternFill>
    </fill>
  </fills>
  <borders count="2">
    <border>
      <left/>
      <right/>
      <top/>
      <bottom/>
      <diagonal/>
    </border>
    <border>
      <left style="thin">
        <color rgb="00D9CBB4"/>
      </left>
      <right style="thin">
        <color rgb="00D9CBB4"/>
      </right>
      <top style="thin">
        <color rgb="00D9CBB4"/>
      </top>
      <bottom style="thin">
        <color rgb="00D9CBB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pivotButton="0" quotePrefix="0" xfId="0"/>
    <xf numFmtId="164" fontId="6" fillId="3" borderId="1" applyAlignment="1" pivotButton="0" quotePrefix="0" xfId="0">
      <alignment horizontal="right" vertical="center"/>
    </xf>
    <xf numFmtId="9" fontId="5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0" pivotButton="0" quotePrefix="0" xfId="0"/>
    <xf numFmtId="0" fontId="2" fillId="2" borderId="0" pivotButton="0" quotePrefix="0" xfId="0"/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164" fontId="9" fillId="4" borderId="1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/>
    </xf>
    <xf numFmtId="164" fontId="9" fillId="2" borderId="1" applyAlignment="1" pivotButton="0" quotePrefix="0" xfId="0">
      <alignment vertical="center"/>
    </xf>
    <xf numFmtId="165" fontId="9" fillId="4" borderId="1" applyAlignment="1" pivotButton="0" quotePrefix="0" xfId="0">
      <alignment horizontal="center" vertical="center"/>
    </xf>
    <xf numFmtId="165" fontId="9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164" fontId="6" fillId="3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0" fontId="1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 por compra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por compra'!D4</f>
            </strRef>
          </tx>
          <spPr>
            <a:ln>
              <a:prstDash val="solid"/>
            </a:ln>
          </spPr>
          <cat>
            <numRef>
              <f>'Resumo por compra'!$B$5:$B$8</f>
            </numRef>
          </cat>
          <val>
            <numRef>
              <f>'Resumo por compra'!$D$5:$D$8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Reais</a:t>
                </a:r>
              </a:p>
            </rich>
          </tx>
        </title>
        <numFmt formatCode="&quot;R$&quot; 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no gasto</a:t>
            </a:r>
          </a:p>
        </rich>
      </tx>
    </title>
    <plotArea>
      <pieChart>
        <varyColors val="1"/>
        <ser>
          <idx val="0"/>
          <order val="0"/>
          <tx>
            <strRef>
              <f>'Resumo por categoria'!B4</f>
            </strRef>
          </tx>
          <spPr>
            <a:ln>
              <a:prstDash val="solid"/>
            </a:ln>
          </spPr>
          <cat>
            <numRef>
              <f>'Resumo por categoria'!$A$5:$A$7</f>
            </numRef>
          </cat>
          <val>
            <numRef>
              <f>'Resumo por categoria'!$B$5:$B$7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3B2414"/>
    <outlinePr summaryBelow="1" summaryRight="1"/>
    <pageSetUpPr fitToPage="1"/>
  </sheetPr>
  <dimension ref="A1:J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20" customWidth="1" min="4" max="4"/>
    <col width="14" customWidth="1" min="5" max="5"/>
    <col width="8" customWidth="1" min="6" max="6"/>
    <col width="10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CALCULADORA BOLEADO  ·  COMPRAS E CUSTOS</t>
        </is>
      </c>
    </row>
    <row r="2" ht="18" customHeight="1">
      <c r="A2" s="2" t="inlineStr">
        <is>
          <t>Terceira à sexta compra  ·  Ingredientes, embalagens e utensílios</t>
        </is>
      </c>
    </row>
    <row r="3" ht="8" customHeight="1"/>
    <row r="4" ht="22" customHeight="1">
      <c r="A4" s="3" t="inlineStr">
        <is>
          <t>Nº</t>
        </is>
      </c>
      <c r="B4" s="3" t="inlineStr">
        <is>
          <t>Compra</t>
        </is>
      </c>
      <c r="C4" s="3" t="inlineStr">
        <is>
          <t>Produto</t>
        </is>
      </c>
      <c r="D4" s="3" t="inlineStr">
        <is>
          <t>Detalhe / conteúdo</t>
        </is>
      </c>
      <c r="E4" s="3" t="inlineStr">
        <is>
          <t>Categoria</t>
        </is>
      </c>
      <c r="F4" s="3" t="inlineStr">
        <is>
          <t>Qtd</t>
        </is>
      </c>
      <c r="G4" s="3" t="inlineStr">
        <is>
          <t>Unidade</t>
        </is>
      </c>
      <c r="H4" s="3" t="inlineStr">
        <is>
          <t>Valor total (R$)</t>
        </is>
      </c>
      <c r="I4" s="3" t="inlineStr">
        <is>
          <t>Custo unitário (R$)</t>
        </is>
      </c>
      <c r="J4" s="3" t="inlineStr">
        <is>
          <t>% do total</t>
        </is>
      </c>
    </row>
    <row r="5">
      <c r="A5" s="4" t="n">
        <v>3</v>
      </c>
      <c r="B5" s="5" t="inlineStr">
        <is>
          <t>Terceira compra</t>
        </is>
      </c>
      <c r="C5" s="5" t="inlineStr">
        <is>
          <t>Chocolate em pó</t>
        </is>
      </c>
      <c r="D5" s="5" t="inlineStr">
        <is>
          <t>200 g</t>
        </is>
      </c>
      <c r="E5" s="4" t="inlineStr">
        <is>
          <t>Ingrediente</t>
        </is>
      </c>
      <c r="F5" s="4" t="n">
        <v>1</v>
      </c>
      <c r="G5" s="4" t="inlineStr">
        <is>
          <t>pct</t>
        </is>
      </c>
      <c r="H5" s="6" t="n">
        <v>39.9</v>
      </c>
      <c r="I5" s="6" t="n">
        <v>39.9</v>
      </c>
      <c r="J5" s="7">
        <f>IF($H$23=0,0,H5/$H$23)</f>
        <v/>
      </c>
    </row>
    <row r="6">
      <c r="A6" s="8" t="n">
        <v>3</v>
      </c>
      <c r="B6" s="9" t="inlineStr">
        <is>
          <t>Terceira compra</t>
        </is>
      </c>
      <c r="C6" s="9" t="inlineStr">
        <is>
          <t>Margarina</t>
        </is>
      </c>
      <c r="D6" s="9" t="inlineStr">
        <is>
          <t>250 g</t>
        </is>
      </c>
      <c r="E6" s="8" t="inlineStr">
        <is>
          <t>Ingrediente</t>
        </is>
      </c>
      <c r="F6" s="8" t="n">
        <v>1</v>
      </c>
      <c r="G6" s="8" t="inlineStr">
        <is>
          <t>pote</t>
        </is>
      </c>
      <c r="H6" s="10" t="n">
        <v>6.98</v>
      </c>
      <c r="I6" s="10" t="n">
        <v>6.98</v>
      </c>
      <c r="J6" s="11">
        <f>IF($H$23=0,0,H6/$H$23)</f>
        <v/>
      </c>
    </row>
    <row r="7">
      <c r="A7" s="4" t="n">
        <v>4</v>
      </c>
      <c r="B7" s="5" t="inlineStr">
        <is>
          <t>Quarta compra</t>
        </is>
      </c>
      <c r="C7" s="5" t="inlineStr">
        <is>
          <t>Caixa para cento de doces</t>
        </is>
      </c>
      <c r="D7" s="5" t="inlineStr">
        <is>
          <t>3 unidades</t>
        </is>
      </c>
      <c r="E7" s="4" t="inlineStr">
        <is>
          <t>Embalagem</t>
        </is>
      </c>
      <c r="F7" s="4" t="n">
        <v>3</v>
      </c>
      <c r="G7" s="4" t="inlineStr">
        <is>
          <t>un</t>
        </is>
      </c>
      <c r="H7" s="6" t="n">
        <v>10.47</v>
      </c>
      <c r="I7" s="6" t="n">
        <v>3.49</v>
      </c>
      <c r="J7" s="7">
        <f>IF($H$23=0,0,H7/$H$23)</f>
        <v/>
      </c>
    </row>
    <row r="8">
      <c r="A8" s="8" t="n">
        <v>4</v>
      </c>
      <c r="B8" s="9" t="inlineStr">
        <is>
          <t>Quarta compra</t>
        </is>
      </c>
      <c r="C8" s="9" t="inlineStr">
        <is>
          <t>Granulado</t>
        </is>
      </c>
      <c r="D8" s="9" t="inlineStr">
        <is>
          <t>—</t>
        </is>
      </c>
      <c r="E8" s="8" t="inlineStr">
        <is>
          <t>Ingrediente</t>
        </is>
      </c>
      <c r="F8" s="8" t="n">
        <v>1</v>
      </c>
      <c r="G8" s="8" t="inlineStr">
        <is>
          <t>pct</t>
        </is>
      </c>
      <c r="H8" s="10" t="n">
        <v>19.99</v>
      </c>
      <c r="I8" s="10" t="n">
        <v>19.99</v>
      </c>
      <c r="J8" s="11">
        <f>IF($H$23=0,0,H8/$H$23)</f>
        <v/>
      </c>
    </row>
    <row r="9">
      <c r="A9" s="4" t="n">
        <v>4</v>
      </c>
      <c r="B9" s="5" t="inlineStr">
        <is>
          <t>Quarta compra</t>
        </is>
      </c>
      <c r="C9" s="5" t="inlineStr">
        <is>
          <t>Chocolate em pó 50%</t>
        </is>
      </c>
      <c r="D9" s="5" t="inlineStr">
        <is>
          <t>—</t>
        </is>
      </c>
      <c r="E9" s="4" t="inlineStr">
        <is>
          <t>Ingrediente</t>
        </is>
      </c>
      <c r="F9" s="4" t="n">
        <v>1</v>
      </c>
      <c r="G9" s="4" t="inlineStr">
        <is>
          <t>pct</t>
        </is>
      </c>
      <c r="H9" s="6" t="n">
        <v>38.99</v>
      </c>
      <c r="I9" s="6" t="n">
        <v>38.99</v>
      </c>
      <c r="J9" s="7">
        <f>IF($H$23=0,0,H9/$H$23)</f>
        <v/>
      </c>
    </row>
    <row r="10">
      <c r="A10" s="8" t="n">
        <v>4</v>
      </c>
      <c r="B10" s="9" t="inlineStr">
        <is>
          <t>Quarta compra</t>
        </is>
      </c>
      <c r="C10" s="9" t="inlineStr">
        <is>
          <t>Leite condensado</t>
        </is>
      </c>
      <c r="D10" s="9" t="inlineStr">
        <is>
          <t>6 unidades</t>
        </is>
      </c>
      <c r="E10" s="8" t="inlineStr">
        <is>
          <t>Ingrediente</t>
        </is>
      </c>
      <c r="F10" s="8" t="n">
        <v>6</v>
      </c>
      <c r="G10" s="8" t="inlineStr">
        <is>
          <t>lata</t>
        </is>
      </c>
      <c r="H10" s="10" t="n">
        <v>41.44</v>
      </c>
      <c r="I10" s="10" t="n">
        <v>6.906666666666666</v>
      </c>
      <c r="J10" s="11">
        <f>IF($H$23=0,0,H10/$H$23)</f>
        <v/>
      </c>
    </row>
    <row r="11">
      <c r="A11" s="4" t="n">
        <v>4</v>
      </c>
      <c r="B11" s="5" t="inlineStr">
        <is>
          <t>Quarta compra</t>
        </is>
      </c>
      <c r="C11" s="5" t="inlineStr">
        <is>
          <t>Creme de leite</t>
        </is>
      </c>
      <c r="D11" s="5" t="inlineStr">
        <is>
          <t>8 unidades</t>
        </is>
      </c>
      <c r="E11" s="4" t="inlineStr">
        <is>
          <t>Ingrediente</t>
        </is>
      </c>
      <c r="F11" s="4" t="n">
        <v>8</v>
      </c>
      <c r="G11" s="4" t="inlineStr">
        <is>
          <t>cx</t>
        </is>
      </c>
      <c r="H11" s="6" t="n">
        <v>21.52</v>
      </c>
      <c r="I11" s="6" t="n">
        <v>2.69</v>
      </c>
      <c r="J11" s="7">
        <f>IF($H$23=0,0,H11/$H$23)</f>
        <v/>
      </c>
    </row>
    <row r="12">
      <c r="A12" s="8" t="n">
        <v>4</v>
      </c>
      <c r="B12" s="9" t="inlineStr">
        <is>
          <t>Quarta compra</t>
        </is>
      </c>
      <c r="C12" s="9" t="inlineStr">
        <is>
          <t>Forminha de brigadeiro</t>
        </is>
      </c>
      <c r="D12" s="9" t="inlineStr">
        <is>
          <t>200 unidades</t>
        </is>
      </c>
      <c r="E12" s="8" t="inlineStr">
        <is>
          <t>Embalagem</t>
        </is>
      </c>
      <c r="F12" s="8" t="n">
        <v>200</v>
      </c>
      <c r="G12" s="8" t="inlineStr">
        <is>
          <t>un</t>
        </is>
      </c>
      <c r="H12" s="10" t="n">
        <v>6</v>
      </c>
      <c r="I12" s="10" t="n">
        <v>0.03</v>
      </c>
      <c r="J12" s="11">
        <f>IF($H$23=0,0,H12/$H$23)</f>
        <v/>
      </c>
    </row>
    <row r="13">
      <c r="A13" s="4" t="n">
        <v>5</v>
      </c>
      <c r="B13" s="5" t="inlineStr">
        <is>
          <t>Quinta compra</t>
        </is>
      </c>
      <c r="C13" s="5" t="inlineStr">
        <is>
          <t>Saco de confeitar</t>
        </is>
      </c>
      <c r="D13" s="5" t="inlineStr">
        <is>
          <t>25 unidades</t>
        </is>
      </c>
      <c r="E13" s="4" t="inlineStr">
        <is>
          <t>Utensílio</t>
        </is>
      </c>
      <c r="F13" s="4" t="n">
        <v>25</v>
      </c>
      <c r="G13" s="4" t="inlineStr">
        <is>
          <t>un</t>
        </is>
      </c>
      <c r="H13" s="6" t="n">
        <v>13.99</v>
      </c>
      <c r="I13" s="6" t="n">
        <v>0.5596</v>
      </c>
      <c r="J13" s="7">
        <f>IF($H$23=0,0,H13/$H$23)</f>
        <v/>
      </c>
    </row>
    <row r="14">
      <c r="A14" s="8" t="n">
        <v>5</v>
      </c>
      <c r="B14" s="9" t="inlineStr">
        <is>
          <t>Quinta compra</t>
        </is>
      </c>
      <c r="C14" s="9" t="inlineStr">
        <is>
          <t>Coco em flocos</t>
        </is>
      </c>
      <c r="D14" s="9" t="inlineStr">
        <is>
          <t>500 g</t>
        </is>
      </c>
      <c r="E14" s="8" t="inlineStr">
        <is>
          <t>Ingrediente</t>
        </is>
      </c>
      <c r="F14" s="8" t="n">
        <v>1</v>
      </c>
      <c r="G14" s="8" t="inlineStr">
        <is>
          <t>pct</t>
        </is>
      </c>
      <c r="H14" s="10" t="n">
        <v>25.99</v>
      </c>
      <c r="I14" s="10" t="n">
        <v>25.99</v>
      </c>
      <c r="J14" s="11">
        <f>IF($H$23=0,0,H14/$H$23)</f>
        <v/>
      </c>
    </row>
    <row r="15">
      <c r="A15" s="4" t="n">
        <v>5</v>
      </c>
      <c r="B15" s="5" t="inlineStr">
        <is>
          <t>Quinta compra</t>
        </is>
      </c>
      <c r="C15" s="5" t="inlineStr">
        <is>
          <t>Biscoito Oreo</t>
        </is>
      </c>
      <c r="D15" s="5" t="inlineStr">
        <is>
          <t>270 g</t>
        </is>
      </c>
      <c r="E15" s="4" t="inlineStr">
        <is>
          <t>Ingrediente</t>
        </is>
      </c>
      <c r="F15" s="4" t="n">
        <v>1</v>
      </c>
      <c r="G15" s="4" t="inlineStr">
        <is>
          <t>pct</t>
        </is>
      </c>
      <c r="H15" s="6" t="n">
        <v>11.99</v>
      </c>
      <c r="I15" s="6" t="n">
        <v>11.99</v>
      </c>
      <c r="J15" s="7">
        <f>IF($H$23=0,0,H15/$H$23)</f>
        <v/>
      </c>
    </row>
    <row r="16">
      <c r="A16" s="8" t="n">
        <v>5</v>
      </c>
      <c r="B16" s="9" t="inlineStr">
        <is>
          <t>Quinta compra</t>
        </is>
      </c>
      <c r="C16" s="9" t="inlineStr">
        <is>
          <t>Pote redondo 150 ml</t>
        </is>
      </c>
      <c r="D16" s="9" t="inlineStr">
        <is>
          <t>150 ml</t>
        </is>
      </c>
      <c r="E16" s="8" t="inlineStr">
        <is>
          <t>Embalagem</t>
        </is>
      </c>
      <c r="F16" s="8" t="n">
        <v>1</v>
      </c>
      <c r="G16" s="8" t="inlineStr">
        <is>
          <t>un</t>
        </is>
      </c>
      <c r="H16" s="10" t="n">
        <v>11.59</v>
      </c>
      <c r="I16" s="10" t="n">
        <v>11.59</v>
      </c>
      <c r="J16" s="11">
        <f>IF($H$23=0,0,H16/$H$23)</f>
        <v/>
      </c>
    </row>
    <row r="17">
      <c r="A17" s="4" t="n">
        <v>5</v>
      </c>
      <c r="B17" s="5" t="inlineStr">
        <is>
          <t>Quinta compra</t>
        </is>
      </c>
      <c r="C17" s="5" t="inlineStr">
        <is>
          <t>Saco Kraft</t>
        </is>
      </c>
      <c r="D17" s="5" t="inlineStr">
        <is>
          <t>20 unidades</t>
        </is>
      </c>
      <c r="E17" s="4" t="inlineStr">
        <is>
          <t>Embalagem</t>
        </is>
      </c>
      <c r="F17" s="4" t="n">
        <v>20</v>
      </c>
      <c r="G17" s="4" t="inlineStr">
        <is>
          <t>un</t>
        </is>
      </c>
      <c r="H17" s="6" t="n">
        <v>14.99</v>
      </c>
      <c r="I17" s="6" t="n">
        <v>0.7495000000000001</v>
      </c>
      <c r="J17" s="7">
        <f>IF($H$23=0,0,H17/$H$23)</f>
        <v/>
      </c>
    </row>
    <row r="18">
      <c r="A18" s="8" t="n">
        <v>5</v>
      </c>
      <c r="B18" s="9" t="inlineStr">
        <is>
          <t>Quinta compra</t>
        </is>
      </c>
      <c r="C18" s="9" t="inlineStr">
        <is>
          <t>Carimbo de brigadeiros</t>
        </is>
      </c>
      <c r="D18" s="9" t="inlineStr">
        <is>
          <t>1 un</t>
        </is>
      </c>
      <c r="E18" s="8" t="inlineStr">
        <is>
          <t>Utensílio</t>
        </is>
      </c>
      <c r="F18" s="8" t="n">
        <v>1</v>
      </c>
      <c r="G18" s="8" t="inlineStr">
        <is>
          <t>un</t>
        </is>
      </c>
      <c r="H18" s="10" t="n">
        <v>15.99</v>
      </c>
      <c r="I18" s="10" t="n">
        <v>15.99</v>
      </c>
      <c r="J18" s="11">
        <f>IF($H$23=0,0,H18/$H$23)</f>
        <v/>
      </c>
    </row>
    <row r="19">
      <c r="A19" s="4" t="n">
        <v>5</v>
      </c>
      <c r="B19" s="5" t="inlineStr">
        <is>
          <t>Quinta compra</t>
        </is>
      </c>
      <c r="C19" s="5" t="inlineStr">
        <is>
          <t>Leite condensado</t>
        </is>
      </c>
      <c r="D19" s="5" t="inlineStr">
        <is>
          <t>10 unidades</t>
        </is>
      </c>
      <c r="E19" s="4" t="inlineStr">
        <is>
          <t>Ingrediente</t>
        </is>
      </c>
      <c r="F19" s="4" t="n">
        <v>10</v>
      </c>
      <c r="G19" s="4" t="inlineStr">
        <is>
          <t>lata</t>
        </is>
      </c>
      <c r="H19" s="6" t="n">
        <v>69.90000000000001</v>
      </c>
      <c r="I19" s="6" t="n">
        <v>6.99</v>
      </c>
      <c r="J19" s="7">
        <f>IF($H$23=0,0,H19/$H$23)</f>
        <v/>
      </c>
    </row>
    <row r="20">
      <c r="A20" s="8" t="n">
        <v>5</v>
      </c>
      <c r="B20" s="9" t="inlineStr">
        <is>
          <t>Quinta compra</t>
        </is>
      </c>
      <c r="C20" s="9" t="inlineStr">
        <is>
          <t>Creme de leite</t>
        </is>
      </c>
      <c r="D20" s="9" t="inlineStr">
        <is>
          <t>7 unidades</t>
        </is>
      </c>
      <c r="E20" s="8" t="inlineStr">
        <is>
          <t>Ingrediente</t>
        </is>
      </c>
      <c r="F20" s="8" t="n">
        <v>7</v>
      </c>
      <c r="G20" s="8" t="inlineStr">
        <is>
          <t>cx</t>
        </is>
      </c>
      <c r="H20" s="10" t="n">
        <v>18.83</v>
      </c>
      <c r="I20" s="10" t="n">
        <v>2.69</v>
      </c>
      <c r="J20" s="11">
        <f>IF($H$23=0,0,H20/$H$23)</f>
        <v/>
      </c>
    </row>
    <row r="21">
      <c r="A21" s="4" t="n">
        <v>5</v>
      </c>
      <c r="B21" s="5" t="inlineStr">
        <is>
          <t>Quinta compra</t>
        </is>
      </c>
      <c r="C21" s="5" t="inlineStr">
        <is>
          <t>Embalagem quadrada para brigadeiro</t>
        </is>
      </c>
      <c r="D21" s="5" t="inlineStr">
        <is>
          <t>15 unidades</t>
        </is>
      </c>
      <c r="E21" s="4" t="inlineStr">
        <is>
          <t>Embalagem</t>
        </is>
      </c>
      <c r="F21" s="4" t="n">
        <v>15</v>
      </c>
      <c r="G21" s="4" t="inlineStr">
        <is>
          <t>un</t>
        </is>
      </c>
      <c r="H21" s="6" t="n">
        <v>18</v>
      </c>
      <c r="I21" s="6" t="n">
        <v>1.2</v>
      </c>
      <c r="J21" s="7">
        <f>IF($H$23=0,0,H21/$H$23)</f>
        <v/>
      </c>
    </row>
    <row r="22">
      <c r="A22" s="8" t="n">
        <v>6</v>
      </c>
      <c r="B22" s="9" t="inlineStr">
        <is>
          <t>Sexta compra</t>
        </is>
      </c>
      <c r="C22" s="9" t="inlineStr">
        <is>
          <t>Barra de chocolate</t>
        </is>
      </c>
      <c r="D22" s="9" t="inlineStr">
        <is>
          <t>—</t>
        </is>
      </c>
      <c r="E22" s="8" t="inlineStr">
        <is>
          <t>Ingrediente</t>
        </is>
      </c>
      <c r="F22" s="8" t="n">
        <v>1</v>
      </c>
      <c r="G22" s="8" t="inlineStr">
        <is>
          <t>un</t>
        </is>
      </c>
      <c r="H22" s="10" t="n">
        <v>30</v>
      </c>
      <c r="I22" s="10" t="n">
        <v>30</v>
      </c>
      <c r="J22" s="11">
        <f>IF($H$23=0,0,H22/$H$23)</f>
        <v/>
      </c>
    </row>
    <row r="23" ht="24" customHeight="1">
      <c r="A23" s="12" t="inlineStr">
        <is>
          <t>TOTAL GERAL GASTO</t>
        </is>
      </c>
      <c r="B23" s="13" t="n"/>
      <c r="C23" s="13" t="n"/>
      <c r="D23" s="13" t="n"/>
      <c r="E23" s="13" t="n"/>
      <c r="F23" s="13" t="n"/>
      <c r="G23" s="13" t="n"/>
      <c r="H23" s="14">
        <f>SUM(H5:H22)</f>
        <v/>
      </c>
      <c r="I23" s="13" t="n"/>
      <c r="J23" s="15">
        <f>SUM(J5:J22)</f>
        <v/>
      </c>
    </row>
    <row r="25">
      <c r="A25" s="16" t="inlineStr">
        <is>
          <t>Observação: 1ª e 2ª compras ainda não foram lançadas. Edite os valores na coluna H — o total e os percentuais atualizam sozinhos. Use o filtro da linha 4 para ver só uma compra ou categoria.</t>
        </is>
      </c>
    </row>
  </sheetData>
  <autoFilter ref="A4:J22"/>
  <mergeCells count="4">
    <mergeCell ref="A1:J1"/>
    <mergeCell ref="A25:J25"/>
    <mergeCell ref="A23:G23"/>
    <mergeCell ref="A2:J2"/>
  </mergeCells>
  <pageMargins left="0.75" right="0.75" top="1" bottom="1" header="0.5" footer="0.5"/>
  <pageSetup orientation="landscape" paperSize="9" fitToHeight="1" fitToWidth="1"/>
  <headerFooter>
    <oddHeader>&amp;LCalculadora Boleado</oddHeader>
    <oddFooter>&amp;CPágina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6" customWidth="1" min="4" max="4"/>
  </cols>
  <sheetData>
    <row r="1" ht="26" customHeight="1">
      <c r="A1" s="17" t="inlineStr">
        <is>
          <t>GASTO POR COMPRA</t>
        </is>
      </c>
    </row>
    <row r="2">
      <c r="A2" s="18" t="inlineStr">
        <is>
          <t>Consolidado da terceira à sexta compra</t>
        </is>
      </c>
    </row>
    <row r="4">
      <c r="A4" s="3" t="inlineStr">
        <is>
          <t>Nº</t>
        </is>
      </c>
      <c r="B4" s="3" t="inlineStr">
        <is>
          <t>Compra</t>
        </is>
      </c>
      <c r="C4" s="3" t="inlineStr">
        <is>
          <t>Itens</t>
        </is>
      </c>
      <c r="D4" s="3" t="inlineStr">
        <is>
          <t>Total (R$)</t>
        </is>
      </c>
    </row>
    <row r="5" ht="20" customHeight="1">
      <c r="A5" s="19" t="n">
        <v>3</v>
      </c>
      <c r="B5" s="20" t="inlineStr">
        <is>
          <t>Terceira compra</t>
        </is>
      </c>
      <c r="C5" s="19">
        <f>COUNTIF('Compras e Custos'!A:A,A5)</f>
        <v/>
      </c>
      <c r="D5" s="21">
        <f>SUMIF('Compras e Custos'!A:A,A5,'Compras e Custos'!H:H)</f>
        <v/>
      </c>
    </row>
    <row r="6" ht="20" customHeight="1">
      <c r="A6" s="22" t="n">
        <v>4</v>
      </c>
      <c r="B6" s="23" t="inlineStr">
        <is>
          <t>Quarta compra</t>
        </is>
      </c>
      <c r="C6" s="22">
        <f>COUNTIF('Compras e Custos'!A:A,A6)</f>
        <v/>
      </c>
      <c r="D6" s="24">
        <f>SUMIF('Compras e Custos'!A:A,A6,'Compras e Custos'!H:H)</f>
        <v/>
      </c>
    </row>
    <row r="7" ht="20" customHeight="1">
      <c r="A7" s="19" t="n">
        <v>5</v>
      </c>
      <c r="B7" s="20" t="inlineStr">
        <is>
          <t>Quinta compra</t>
        </is>
      </c>
      <c r="C7" s="19">
        <f>COUNTIF('Compras e Custos'!A:A,A7)</f>
        <v/>
      </c>
      <c r="D7" s="21">
        <f>SUMIF('Compras e Custos'!A:A,A7,'Compras e Custos'!H:H)</f>
        <v/>
      </c>
    </row>
    <row r="8" ht="20" customHeight="1">
      <c r="A8" s="22" t="n">
        <v>6</v>
      </c>
      <c r="B8" s="23" t="inlineStr">
        <is>
          <t>Sexta compra</t>
        </is>
      </c>
      <c r="C8" s="22">
        <f>COUNTIF('Compras e Custos'!A:A,A8)</f>
        <v/>
      </c>
      <c r="D8" s="24">
        <f>SUMIF('Compras e Custos'!A:A,A8,'Compras e Custos'!H:H)</f>
        <v/>
      </c>
    </row>
    <row r="9">
      <c r="A9" s="12" t="inlineStr">
        <is>
          <t>TOTAL GERAL</t>
        </is>
      </c>
      <c r="B9" s="13" t="n"/>
      <c r="C9" s="13" t="n"/>
      <c r="D9" s="14">
        <f>SUM(D5:D8)</f>
        <v/>
      </c>
    </row>
  </sheetData>
  <mergeCells count="3">
    <mergeCell ref="A1:D1"/>
    <mergeCell ref="A9:C9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A2E1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 ht="26" customHeight="1">
      <c r="A1" s="17" t="inlineStr">
        <is>
          <t>GASTO POR CATEGORIA</t>
        </is>
      </c>
    </row>
    <row r="2">
      <c r="A2" s="18" t="inlineStr">
        <is>
          <t>Como o dinheiro se divide entre ingredientes, embalagens e utensílios</t>
        </is>
      </c>
    </row>
    <row r="4">
      <c r="A4" s="3" t="inlineStr">
        <is>
          <t>Categoria</t>
        </is>
      </c>
      <c r="B4" s="3" t="inlineStr">
        <is>
          <t>Total (R$)</t>
        </is>
      </c>
      <c r="C4" s="3" t="inlineStr">
        <is>
          <t>% do gasto</t>
        </is>
      </c>
    </row>
    <row r="5">
      <c r="A5" s="20" t="inlineStr">
        <is>
          <t>Ingrediente</t>
        </is>
      </c>
      <c r="B5" s="21">
        <f>SUMIF('Compras e Custos'!E:E,A5,'Compras e Custos'!H:H)</f>
        <v/>
      </c>
      <c r="C5" s="25">
        <f>IF($B$8=0,0,B5/$B$8)</f>
        <v/>
      </c>
    </row>
    <row r="6">
      <c r="A6" s="23" t="inlineStr">
        <is>
          <t>Embalagem</t>
        </is>
      </c>
      <c r="B6" s="24">
        <f>SUMIF('Compras e Custos'!E:E,A6,'Compras e Custos'!H:H)</f>
        <v/>
      </c>
      <c r="C6" s="26">
        <f>IF($B$8=0,0,B6/$B$8)</f>
        <v/>
      </c>
    </row>
    <row r="7">
      <c r="A7" s="20" t="inlineStr">
        <is>
          <t>Utensílio</t>
        </is>
      </c>
      <c r="B7" s="21">
        <f>SUMIF('Compras e Custos'!E:E,A7,'Compras e Custos'!H:H)</f>
        <v/>
      </c>
      <c r="C7" s="25">
        <f>IF($B$8=0,0,B7/$B$8)</f>
        <v/>
      </c>
    </row>
    <row r="8">
      <c r="A8" s="27" t="inlineStr">
        <is>
          <t>TOTAL</t>
        </is>
      </c>
      <c r="B8" s="28">
        <f>SUM(B5:B7)</f>
        <v/>
      </c>
      <c r="C8" s="15">
        <f>SUM(C5:C7)</f>
        <v/>
      </c>
    </row>
  </sheetData>
  <mergeCells count="3">
    <mergeCell ref="A1:C1"/>
    <mergeCell ref="A8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F5D3A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20" customWidth="1" min="4" max="4"/>
    <col width="24" customWidth="1" min="5" max="5"/>
  </cols>
  <sheetData>
    <row r="1" ht="26" customHeight="1">
      <c r="A1" s="17" t="inlineStr">
        <is>
          <t>MESMOS PRODUTOS SOMADOS ENTRE COMPRAS</t>
        </is>
      </c>
    </row>
    <row r="2">
      <c r="A2" s="18" t="inlineStr">
        <is>
          <t>Útil para ver quanto já entrou de leite condensado, creme de leite etc.</t>
        </is>
      </c>
    </row>
    <row r="4">
      <c r="A4" s="3" t="inlineStr">
        <is>
          <t>Produto</t>
        </is>
      </c>
      <c r="B4" s="3" t="inlineStr">
        <is>
          <t>Categoria</t>
        </is>
      </c>
      <c r="C4" s="3" t="inlineStr">
        <is>
          <t>Qtd total</t>
        </is>
      </c>
      <c r="D4" s="3" t="inlineStr">
        <is>
          <t>Gasto total (R$)</t>
        </is>
      </c>
      <c r="E4" s="3" t="inlineStr">
        <is>
          <t>Custo médio unit. (R$)</t>
        </is>
      </c>
    </row>
    <row r="5">
      <c r="A5" s="5" t="inlineStr">
        <is>
          <t>Chocolate em pó</t>
        </is>
      </c>
      <c r="B5" s="4" t="inlineStr">
        <is>
          <t>Ingrediente</t>
        </is>
      </c>
      <c r="C5" s="4">
        <f>SUMIF('Compras e Custos'!C:C,A5,'Compras e Custos'!F:F)</f>
        <v/>
      </c>
      <c r="D5" s="29">
        <f>SUMIF('Compras e Custos'!C:C,A5,'Compras e Custos'!H:H)</f>
        <v/>
      </c>
      <c r="E5" s="29">
        <f>IF(C5=0,0,D5/C5)</f>
        <v/>
      </c>
    </row>
    <row r="6">
      <c r="A6" s="9" t="inlineStr">
        <is>
          <t>Margarina</t>
        </is>
      </c>
      <c r="B6" s="8" t="inlineStr">
        <is>
          <t>Ingrediente</t>
        </is>
      </c>
      <c r="C6" s="8">
        <f>SUMIF('Compras e Custos'!C:C,A6,'Compras e Custos'!F:F)</f>
        <v/>
      </c>
      <c r="D6" s="30">
        <f>SUMIF('Compras e Custos'!C:C,A6,'Compras e Custos'!H:H)</f>
        <v/>
      </c>
      <c r="E6" s="30">
        <f>IF(C6=0,0,D6/C6)</f>
        <v/>
      </c>
    </row>
    <row r="7">
      <c r="A7" s="5" t="inlineStr">
        <is>
          <t>Caixa para cento de doces</t>
        </is>
      </c>
      <c r="B7" s="4" t="inlineStr">
        <is>
          <t>Embalagem</t>
        </is>
      </c>
      <c r="C7" s="4">
        <f>SUMIF('Compras e Custos'!C:C,A7,'Compras e Custos'!F:F)</f>
        <v/>
      </c>
      <c r="D7" s="29">
        <f>SUMIF('Compras e Custos'!C:C,A7,'Compras e Custos'!H:H)</f>
        <v/>
      </c>
      <c r="E7" s="29">
        <f>IF(C7=0,0,D7/C7)</f>
        <v/>
      </c>
    </row>
    <row r="8">
      <c r="A8" s="9" t="inlineStr">
        <is>
          <t>Granulado</t>
        </is>
      </c>
      <c r="B8" s="8" t="inlineStr">
        <is>
          <t>Ingrediente</t>
        </is>
      </c>
      <c r="C8" s="8">
        <f>SUMIF('Compras e Custos'!C:C,A8,'Compras e Custos'!F:F)</f>
        <v/>
      </c>
      <c r="D8" s="30">
        <f>SUMIF('Compras e Custos'!C:C,A8,'Compras e Custos'!H:H)</f>
        <v/>
      </c>
      <c r="E8" s="30">
        <f>IF(C8=0,0,D8/C8)</f>
        <v/>
      </c>
    </row>
    <row r="9">
      <c r="A9" s="5" t="inlineStr">
        <is>
          <t>Chocolate em pó 50%</t>
        </is>
      </c>
      <c r="B9" s="4" t="inlineStr">
        <is>
          <t>Ingrediente</t>
        </is>
      </c>
      <c r="C9" s="4">
        <f>SUMIF('Compras e Custos'!C:C,A9,'Compras e Custos'!F:F)</f>
        <v/>
      </c>
      <c r="D9" s="29">
        <f>SUMIF('Compras e Custos'!C:C,A9,'Compras e Custos'!H:H)</f>
        <v/>
      </c>
      <c r="E9" s="29">
        <f>IF(C9=0,0,D9/C9)</f>
        <v/>
      </c>
    </row>
    <row r="10">
      <c r="A10" s="9" t="inlineStr">
        <is>
          <t>Leite condensado</t>
        </is>
      </c>
      <c r="B10" s="8" t="inlineStr">
        <is>
          <t>Ingrediente</t>
        </is>
      </c>
      <c r="C10" s="8">
        <f>SUMIF('Compras e Custos'!C:C,A10,'Compras e Custos'!F:F)</f>
        <v/>
      </c>
      <c r="D10" s="30">
        <f>SUMIF('Compras e Custos'!C:C,A10,'Compras e Custos'!H:H)</f>
        <v/>
      </c>
      <c r="E10" s="30">
        <f>IF(C10=0,0,D10/C10)</f>
        <v/>
      </c>
    </row>
    <row r="11">
      <c r="A11" s="5" t="inlineStr">
        <is>
          <t>Creme de leite</t>
        </is>
      </c>
      <c r="B11" s="4" t="inlineStr">
        <is>
          <t>Ingrediente</t>
        </is>
      </c>
      <c r="C11" s="4">
        <f>SUMIF('Compras e Custos'!C:C,A11,'Compras e Custos'!F:F)</f>
        <v/>
      </c>
      <c r="D11" s="29">
        <f>SUMIF('Compras e Custos'!C:C,A11,'Compras e Custos'!H:H)</f>
        <v/>
      </c>
      <c r="E11" s="29">
        <f>IF(C11=0,0,D11/C11)</f>
        <v/>
      </c>
    </row>
    <row r="12">
      <c r="A12" s="9" t="inlineStr">
        <is>
          <t>Forminha de brigadeiro</t>
        </is>
      </c>
      <c r="B12" s="8" t="inlineStr">
        <is>
          <t>Embalagem</t>
        </is>
      </c>
      <c r="C12" s="8">
        <f>SUMIF('Compras e Custos'!C:C,A12,'Compras e Custos'!F:F)</f>
        <v/>
      </c>
      <c r="D12" s="30">
        <f>SUMIF('Compras e Custos'!C:C,A12,'Compras e Custos'!H:H)</f>
        <v/>
      </c>
      <c r="E12" s="30">
        <f>IF(C12=0,0,D12/C12)</f>
        <v/>
      </c>
    </row>
    <row r="13">
      <c r="A13" s="5" t="inlineStr">
        <is>
          <t>Saco de confeitar</t>
        </is>
      </c>
      <c r="B13" s="4" t="inlineStr">
        <is>
          <t>Utensílio</t>
        </is>
      </c>
      <c r="C13" s="4">
        <f>SUMIF('Compras e Custos'!C:C,A13,'Compras e Custos'!F:F)</f>
        <v/>
      </c>
      <c r="D13" s="29">
        <f>SUMIF('Compras e Custos'!C:C,A13,'Compras e Custos'!H:H)</f>
        <v/>
      </c>
      <c r="E13" s="29">
        <f>IF(C13=0,0,D13/C13)</f>
        <v/>
      </c>
    </row>
    <row r="14">
      <c r="A14" s="9" t="inlineStr">
        <is>
          <t>Coco em flocos</t>
        </is>
      </c>
      <c r="B14" s="8" t="inlineStr">
        <is>
          <t>Ingrediente</t>
        </is>
      </c>
      <c r="C14" s="8">
        <f>SUMIF('Compras e Custos'!C:C,A14,'Compras e Custos'!F:F)</f>
        <v/>
      </c>
      <c r="D14" s="30">
        <f>SUMIF('Compras e Custos'!C:C,A14,'Compras e Custos'!H:H)</f>
        <v/>
      </c>
      <c r="E14" s="30">
        <f>IF(C14=0,0,D14/C14)</f>
        <v/>
      </c>
    </row>
    <row r="15">
      <c r="A15" s="5" t="inlineStr">
        <is>
          <t>Biscoito Oreo</t>
        </is>
      </c>
      <c r="B15" s="4" t="inlineStr">
        <is>
          <t>Ingrediente</t>
        </is>
      </c>
      <c r="C15" s="4">
        <f>SUMIF('Compras e Custos'!C:C,A15,'Compras e Custos'!F:F)</f>
        <v/>
      </c>
      <c r="D15" s="29">
        <f>SUMIF('Compras e Custos'!C:C,A15,'Compras e Custos'!H:H)</f>
        <v/>
      </c>
      <c r="E15" s="29">
        <f>IF(C15=0,0,D15/C15)</f>
        <v/>
      </c>
    </row>
    <row r="16">
      <c r="A16" s="9" t="inlineStr">
        <is>
          <t>Pote redondo 150 ml</t>
        </is>
      </c>
      <c r="B16" s="8" t="inlineStr">
        <is>
          <t>Embalagem</t>
        </is>
      </c>
      <c r="C16" s="8">
        <f>SUMIF('Compras e Custos'!C:C,A16,'Compras e Custos'!F:F)</f>
        <v/>
      </c>
      <c r="D16" s="30">
        <f>SUMIF('Compras e Custos'!C:C,A16,'Compras e Custos'!H:H)</f>
        <v/>
      </c>
      <c r="E16" s="30">
        <f>IF(C16=0,0,D16/C16)</f>
        <v/>
      </c>
    </row>
    <row r="17">
      <c r="A17" s="5" t="inlineStr">
        <is>
          <t>Saco Kraft</t>
        </is>
      </c>
      <c r="B17" s="4" t="inlineStr">
        <is>
          <t>Embalagem</t>
        </is>
      </c>
      <c r="C17" s="4">
        <f>SUMIF('Compras e Custos'!C:C,A17,'Compras e Custos'!F:F)</f>
        <v/>
      </c>
      <c r="D17" s="29">
        <f>SUMIF('Compras e Custos'!C:C,A17,'Compras e Custos'!H:H)</f>
        <v/>
      </c>
      <c r="E17" s="29">
        <f>IF(C17=0,0,D17/C17)</f>
        <v/>
      </c>
    </row>
    <row r="18">
      <c r="A18" s="9" t="inlineStr">
        <is>
          <t>Carimbo de brigadeiros</t>
        </is>
      </c>
      <c r="B18" s="8" t="inlineStr">
        <is>
          <t>Utensílio</t>
        </is>
      </c>
      <c r="C18" s="8">
        <f>SUMIF('Compras e Custos'!C:C,A18,'Compras e Custos'!F:F)</f>
        <v/>
      </c>
      <c r="D18" s="30">
        <f>SUMIF('Compras e Custos'!C:C,A18,'Compras e Custos'!H:H)</f>
        <v/>
      </c>
      <c r="E18" s="30">
        <f>IF(C18=0,0,D18/C18)</f>
        <v/>
      </c>
    </row>
    <row r="19">
      <c r="A19" s="5" t="inlineStr">
        <is>
          <t>Embalagem quadrada para brigadeiro</t>
        </is>
      </c>
      <c r="B19" s="4" t="inlineStr">
        <is>
          <t>Embalagem</t>
        </is>
      </c>
      <c r="C19" s="4">
        <f>SUMIF('Compras e Custos'!C:C,A19,'Compras e Custos'!F:F)</f>
        <v/>
      </c>
      <c r="D19" s="29">
        <f>SUMIF('Compras e Custos'!C:C,A19,'Compras e Custos'!H:H)</f>
        <v/>
      </c>
      <c r="E19" s="29">
        <f>IF(C19=0,0,D19/C19)</f>
        <v/>
      </c>
    </row>
    <row r="20">
      <c r="A20" s="9" t="inlineStr">
        <is>
          <t>Barra de chocolate</t>
        </is>
      </c>
      <c r="B20" s="8" t="inlineStr">
        <is>
          <t>Ingrediente</t>
        </is>
      </c>
      <c r="C20" s="8">
        <f>SUMIF('Compras e Custos'!C:C,A20,'Compras e Custos'!F:F)</f>
        <v/>
      </c>
      <c r="D20" s="30">
        <f>SUMIF('Compras e Custos'!C:C,A20,'Compras e Custos'!H:H)</f>
        <v/>
      </c>
      <c r="E20" s="30">
        <f>IF(C20=0,0,D20/C20)</f>
        <v/>
      </c>
    </row>
    <row r="21">
      <c r="A21" s="12" t="inlineStr">
        <is>
          <t>TOTAL GERAL</t>
        </is>
      </c>
      <c r="B21" s="13" t="n"/>
      <c r="C21" s="13" t="n"/>
      <c r="D21" s="14">
        <f>SUM(D5:D20)</f>
        <v/>
      </c>
      <c r="E21" s="13" t="n"/>
    </row>
  </sheetData>
  <mergeCells count="3">
    <mergeCell ref="A2:E2"/>
    <mergeCell ref="A1:E1"/>
    <mergeCell ref="A21:C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A6A58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6" customHeight="1">
      <c r="A1" s="17" t="inlineStr">
        <is>
          <t>COMO USAR ESTA PLANILHA</t>
        </is>
      </c>
    </row>
    <row r="3">
      <c r="A3" s="3" t="inlineStr">
        <is>
          <t>Tópico</t>
        </is>
      </c>
      <c r="B3" s="3" t="inlineStr">
        <is>
          <t>O que fazer</t>
        </is>
      </c>
    </row>
    <row r="4" ht="36" customHeight="1">
      <c r="A4" s="31" t="inlineStr">
        <is>
          <t>Abrir no Excel</t>
        </is>
      </c>
      <c r="B4" s="32" t="inlineStr">
        <is>
          <t>Arquivo → Abrir, ou dê dois cliques neste .xlsx. No celular, use Excel ou Google Planilhas.</t>
        </is>
      </c>
    </row>
    <row r="5" ht="36" customHeight="1">
      <c r="A5" s="33" t="inlineStr">
        <is>
          <t>Abrir no Google Planilhas</t>
        </is>
      </c>
      <c r="B5" s="34" t="inlineStr">
        <is>
          <t>Drive → Novo → Upload → este arquivo. Ou Planilhas → Arquivo → Importar.</t>
        </is>
      </c>
    </row>
    <row r="6" ht="36" customHeight="1">
      <c r="A6" s="31" t="inlineStr">
        <is>
          <t>Lançar 1ª e 2ª compras</t>
        </is>
      </c>
      <c r="B6" s="32" t="inlineStr">
        <is>
          <t>Na aba Compras e Custos, insira linhas acima do TOTAL (antes da linha 23). Copie uma linha existente para manter fórmulas de %.</t>
        </is>
      </c>
    </row>
    <row r="7" ht="36" customHeight="1">
      <c r="A7" s="33" t="inlineStr">
        <is>
          <t>Corrigir um preço</t>
        </is>
      </c>
      <c r="B7" s="34" t="inlineStr">
        <is>
          <t>Altere só a coluna H (Valor total). Custo unitário e % recalculam sozinhos.</t>
        </is>
      </c>
    </row>
    <row r="8" ht="36" customHeight="1">
      <c r="A8" s="31" t="inlineStr">
        <is>
          <t>Filtrar</t>
        </is>
      </c>
      <c r="B8" s="32" t="inlineStr">
        <is>
          <t>Use as setinhas da linha 4 para ver só uma compra, só ingredientes, etc.</t>
        </is>
      </c>
    </row>
    <row r="9" ht="36" customHeight="1">
      <c r="A9" s="33" t="inlineStr">
        <is>
          <t>Resumos</t>
        </is>
      </c>
      <c r="B9" s="34" t="inlineStr">
        <is>
          <t>As abas Resumo por compra, Resumo por categoria e Estoque consolidado leem a aba principal com fórmulas — não edite os totais à mão.</t>
        </is>
      </c>
    </row>
    <row r="10" ht="36" customHeight="1">
      <c r="A10" s="31" t="inlineStr">
        <is>
          <t>Total atual</t>
        </is>
      </c>
      <c r="B10" s="32" t="inlineStr">
        <is>
          <t>Terceira + quarta + quinta + sexta compra = R$ 416,56.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2026-08-12T21:15:33Z</dcterms:created>
  <dcterms:modified xsi:type="dcterms:W3CDTF">2026-08-12T21:15:34Z</dcterms:modified>
</cp:coreProperties>
</file>