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e Custos" sheetId="1" state="visible" r:id="rId1"/>
    <sheet name="Por compra" sheetId="2" state="visible" r:id="rId2"/>
  </sheets>
  <definedNames>
    <definedName name="_xlnm._FilterDatabase" localSheetId="0" hidden="1">'Compras e Custos'!$A$4:$G$54</definedName>
    <definedName name="_xlnm.Print_Titles" localSheetId="0">'Compras e Custos'!$1:$4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.0000"/>
    <numFmt numFmtId="166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214A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color rgb="00FFFF9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FFFFFF"/>
      <sz val="14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6B214A"/>
      </patternFill>
    </fill>
    <fill>
      <patternFill patternType="solid">
        <fgColor rgb="00A13B69"/>
      </patternFill>
    </fill>
    <fill>
      <patternFill patternType="solid">
        <fgColor rgb="00FFFFFF"/>
      </patternFill>
    </fill>
    <fill>
      <patternFill patternType="solid">
        <fgColor rgb="002B2B2B"/>
      </patternFill>
    </fill>
    <fill>
      <patternFill patternType="solid">
        <fgColor rgb="00383838"/>
      </patternFill>
    </fill>
    <fill>
      <patternFill patternType="solid">
        <fgColor rgb="00F8E7EF"/>
      </patternFill>
    </fill>
    <fill>
      <patternFill patternType="solid">
        <fgColor rgb="00F3D4E0"/>
      </patternFill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B8CCE4"/>
      </patternFill>
    </fill>
  </fills>
  <borders count="5">
    <border>
      <left/>
      <right/>
      <top/>
      <bottom/>
      <diagonal/>
    </border>
    <border>
      <left style="thin">
        <color rgb="008A2E5A"/>
      </left>
      <right style="thin">
        <color rgb="008A2E5A"/>
      </right>
      <top style="thin">
        <color rgb="008A2E5A"/>
      </top>
      <bottom style="thin">
        <color rgb="008A2E5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8" fillId="0" borderId="0" pivotButton="0" quotePrefix="0" xfId="0"/>
    <xf numFmtId="9" fontId="8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vertical="center"/>
    </xf>
    <xf numFmtId="164" fontId="4" fillId="4" borderId="2" applyAlignment="1" pivotButton="0" quotePrefix="0" xfId="0">
      <alignment horizontal="right" vertical="center"/>
    </xf>
    <xf numFmtId="1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/>
    </xf>
    <xf numFmtId="0" fontId="11" fillId="0" borderId="0" pivotButton="0" quotePrefix="0" xfId="0"/>
    <xf numFmtId="164" fontId="11" fillId="0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center" vertical="center"/>
    </xf>
    <xf numFmtId="0" fontId="8" fillId="10" borderId="3" pivotButton="0" quotePrefix="0" xfId="0"/>
    <xf numFmtId="0" fontId="8" fillId="10" borderId="3" applyAlignment="1" pivotButton="0" quotePrefix="0" xfId="0">
      <alignment horizontal="center" vertical="center"/>
    </xf>
    <xf numFmtId="0" fontId="8" fillId="11" borderId="3" pivotButton="0" quotePrefix="0" xfId="0"/>
    <xf numFmtId="0" fontId="8" fillId="11" borderId="3" applyAlignment="1" pivotButton="0" quotePrefix="0" xfId="0">
      <alignment horizontal="center" vertical="center"/>
    </xf>
    <xf numFmtId="166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vertical="center"/>
    </xf>
    <xf numFmtId="164" fontId="6" fillId="5" borderId="2" applyAlignment="1" pivotButton="0" quotePrefix="0" xfId="0">
      <alignment horizontal="right" vertical="center"/>
    </xf>
    <xf numFmtId="1" fontId="5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vertical="center"/>
    </xf>
    <xf numFmtId="164" fontId="6" fillId="6" borderId="2" applyAlignment="1" pivotButton="0" quotePrefix="0" xfId="0">
      <alignment horizontal="right" vertical="center"/>
    </xf>
    <xf numFmtId="1" fontId="5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vertical="center"/>
    </xf>
    <xf numFmtId="164" fontId="4" fillId="7" borderId="2" applyAlignment="1" pivotButton="0" quotePrefix="0" xfId="0">
      <alignment horizontal="right" vertical="center"/>
    </xf>
    <xf numFmtId="1" fontId="4" fillId="7" borderId="2" applyAlignment="1" pivotButton="0" quotePrefix="0" xfId="0">
      <alignment horizontal="right" vertical="center"/>
    </xf>
    <xf numFmtId="165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vertical="center"/>
    </xf>
    <xf numFmtId="164" fontId="4" fillId="8" borderId="2" applyAlignment="1" pivotButton="0" quotePrefix="0" xfId="0">
      <alignment horizontal="right" vertical="center"/>
    </xf>
    <xf numFmtId="1" fontId="4" fillId="8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2" borderId="0" pivotButton="0" quotePrefix="0" xfId="0"/>
    <xf numFmtId="0" fontId="3" fillId="3" borderId="0" applyAlignment="1" pivotButton="0" quotePrefix="0" xfId="0">
      <alignment horizontal="center"/>
    </xf>
    <xf numFmtId="0" fontId="13" fillId="0" borderId="4" applyAlignment="1" pivotButton="0" quotePrefix="0" xfId="0">
      <alignment vertical="center"/>
    </xf>
    <xf numFmtId="0" fontId="13" fillId="0" borderId="4" applyAlignment="1" pivotButton="0" quotePrefix="0" xfId="0">
      <alignment horizontal="center"/>
    </xf>
    <xf numFmtId="164" fontId="13" fillId="0" borderId="4" applyAlignment="1" pivotButton="0" quotePrefix="0" xfId="0">
      <alignment vertical="center"/>
    </xf>
    <xf numFmtId="164" fontId="7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214A"/>
    <outlinePr summaryBelow="1" summaryRight="1"/>
    <pageSetUpPr fitToPage="1"/>
  </sheetPr>
  <dimension ref="A1:J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20" customWidth="1" min="4" max="4"/>
    <col width="20" customWidth="1" min="5" max="5"/>
    <col width="18" customWidth="1" min="6" max="6"/>
    <col width="48" customWidth="1" min="7" max="7"/>
    <col width="3" customWidth="1" min="8" max="8"/>
    <col width="28" customWidth="1" min="9" max="9"/>
    <col width="14" customWidth="1" min="10" max="10"/>
  </cols>
  <sheetData>
    <row r="1" ht="24" customHeight="1">
      <c r="A1" s="1" t="inlineStr">
        <is>
          <t>CONTROLE DE COMPRAS — CONFEITARIA</t>
        </is>
      </c>
      <c r="B1" s="2" t="n"/>
      <c r="C1" s="2" t="n"/>
      <c r="D1" s="2" t="n"/>
      <c r="E1" s="2" t="n"/>
      <c r="F1" s="2" t="n"/>
      <c r="G1" s="2" t="n"/>
      <c r="I1" s="3" t="inlineStr">
        <is>
          <t>PARÂMETROS</t>
        </is>
      </c>
      <c r="J1" s="2" t="n"/>
    </row>
    <row r="2" ht="16" customHeight="1">
      <c r="A2" s="4" t="inlineStr">
        <is>
          <t>Base de custos inicial • atualize os valores sempre que fizer novas compras</t>
        </is>
      </c>
      <c r="I2" s="5" t="inlineStr">
        <is>
          <t>Acréscimo luz e gás</t>
        </is>
      </c>
      <c r="J2" s="6" t="n">
        <v>0.2</v>
      </c>
    </row>
    <row r="3" ht="8" customHeight="1"/>
    <row r="4" ht="22" customHeight="1">
      <c r="A4" s="7" t="inlineStr">
        <is>
          <t>Categoria</t>
        </is>
      </c>
      <c r="B4" s="7" t="inlineStr">
        <is>
          <t>Produto</t>
        </is>
      </c>
      <c r="C4" s="7" t="inlineStr">
        <is>
          <t>Preço pago (R$)</t>
        </is>
      </c>
      <c r="D4" s="7" t="inlineStr">
        <is>
          <t>Quantidade comprada</t>
        </is>
      </c>
      <c r="E4" s="7" t="inlineStr">
        <is>
          <t>Unidade / conteúdo</t>
        </is>
      </c>
      <c r="F4" s="7" t="inlineStr">
        <is>
          <t>Custo unitário (R$)</t>
        </is>
      </c>
      <c r="G4" s="7" t="inlineStr">
        <is>
          <t>Observações</t>
        </is>
      </c>
      <c r="I4" s="8" t="inlineStr">
        <is>
          <t>RESUMO</t>
        </is>
      </c>
      <c r="J4" s="2" t="n"/>
    </row>
    <row r="5" ht="16" customHeight="1">
      <c r="A5" s="9" t="inlineStr">
        <is>
          <t>Utilidades</t>
        </is>
      </c>
      <c r="B5" s="10" t="inlineStr">
        <is>
          <t>Papel-alumínio</t>
        </is>
      </c>
      <c r="C5" s="11" t="n">
        <v>4.39</v>
      </c>
      <c r="D5" s="12" t="n">
        <v>1</v>
      </c>
      <c r="E5" s="10" t="inlineStr">
        <is>
          <t>rolo</t>
        </is>
      </c>
      <c r="F5" s="13">
        <f>IF(D5=0,0,C5/D5)</f>
        <v/>
      </c>
      <c r="G5" s="10" t="inlineStr"/>
      <c r="I5" s="14" t="inlineStr">
        <is>
          <t>Subtotal das compras</t>
        </is>
      </c>
      <c r="J5" s="15">
        <f>SUM(C5:C54)</f>
        <v/>
      </c>
    </row>
    <row r="6" ht="16" customHeight="1">
      <c r="A6" s="9" t="inlineStr">
        <is>
          <t>Utilidades</t>
        </is>
      </c>
      <c r="B6" s="10" t="inlineStr">
        <is>
          <t>Plástico filme</t>
        </is>
      </c>
      <c r="C6" s="11" t="n">
        <v>5.59</v>
      </c>
      <c r="D6" s="12" t="n">
        <v>1</v>
      </c>
      <c r="E6" s="10" t="inlineStr">
        <is>
          <t>rolo</t>
        </is>
      </c>
      <c r="F6" s="13">
        <f>IF(D6=0,0,C6/D6)</f>
        <v/>
      </c>
      <c r="G6" s="10" t="inlineStr"/>
      <c r="I6" s="14" t="inlineStr">
        <is>
          <t>Luz e gás (20%)</t>
        </is>
      </c>
      <c r="J6" s="15">
        <f>J5*J2</f>
        <v/>
      </c>
    </row>
    <row r="7" ht="16" customHeight="1">
      <c r="A7" s="9" t="inlineStr">
        <is>
          <t>Utilidades</t>
        </is>
      </c>
      <c r="B7" s="10" t="inlineStr">
        <is>
          <t>Papel-toalha</t>
        </is>
      </c>
      <c r="C7" s="11" t="n">
        <v>4.39</v>
      </c>
      <c r="D7" s="12" t="n">
        <v>2</v>
      </c>
      <c r="E7" s="10" t="inlineStr">
        <is>
          <t>rolos</t>
        </is>
      </c>
      <c r="F7" s="13">
        <f>IF(D7=0,0,C7/D7)</f>
        <v/>
      </c>
      <c r="G7" s="10" t="inlineStr"/>
      <c r="I7" s="16" t="inlineStr">
        <is>
          <t>Custo total c/ luz e gás</t>
        </is>
      </c>
      <c r="J7" s="17">
        <f>J5+J6</f>
        <v/>
      </c>
    </row>
    <row r="8" ht="16" customHeight="1">
      <c r="A8" s="9" t="inlineStr">
        <is>
          <t>Utilidades</t>
        </is>
      </c>
      <c r="B8" s="10" t="inlineStr">
        <is>
          <t>Saco de confeitar</t>
        </is>
      </c>
      <c r="C8" s="11" t="n">
        <v>7.5</v>
      </c>
      <c r="D8" s="12" t="n">
        <v>5</v>
      </c>
      <c r="E8" s="10" t="inlineStr">
        <is>
          <t>unidades</t>
        </is>
      </c>
      <c r="F8" s="13">
        <f>IF(D8=0,0,C8/D8)</f>
        <v/>
      </c>
      <c r="G8" s="10" t="inlineStr"/>
      <c r="I8" s="18" t="inlineStr">
        <is>
          <t>Só 3ª a 6ª compra</t>
        </is>
      </c>
      <c r="J8" s="19">
        <f>SUMIF(G5:G54,"*Terceira*",C5:C54)+SUMIF(G5:G54,"*Quarta*",C5:C54)+SUMIF(G5:G54,"*Quinta*",C5:C54)+SUMIF(G5:G54,"*Sexta*",C5:C54)</f>
        <v/>
      </c>
    </row>
    <row r="9" ht="16" customHeight="1">
      <c r="A9" s="9" t="inlineStr">
        <is>
          <t>Utilidades</t>
        </is>
      </c>
      <c r="B9" s="10" t="inlineStr">
        <is>
          <t>Touca Descartável</t>
        </is>
      </c>
      <c r="C9" s="11" t="n">
        <v>5</v>
      </c>
      <c r="D9" s="12" t="n">
        <v>5</v>
      </c>
      <c r="E9" s="10" t="inlineStr">
        <is>
          <t>unidades</t>
        </is>
      </c>
      <c r="F9" s="13">
        <f>IF(D9=0,0,C9/D9)</f>
        <v/>
      </c>
      <c r="G9" s="10" t="inlineStr"/>
    </row>
    <row r="10" ht="16" customHeight="1">
      <c r="A10" s="9" t="inlineStr">
        <is>
          <t>Utilidades</t>
        </is>
      </c>
      <c r="B10" s="10" t="inlineStr">
        <is>
          <t>Durex</t>
        </is>
      </c>
      <c r="C10" s="11" t="n">
        <v>4.5</v>
      </c>
      <c r="D10" s="12" t="n">
        <v>1</v>
      </c>
      <c r="E10" s="10" t="inlineStr">
        <is>
          <t>unidade</t>
        </is>
      </c>
      <c r="F10" s="13">
        <f>IF(D10=0,0,C10/D10)</f>
        <v/>
      </c>
      <c r="G10" s="10" t="inlineStr"/>
      <c r="I10" s="20" t="inlineStr">
        <is>
          <t>Adicionais</t>
        </is>
      </c>
      <c r="J10" s="20" t="inlineStr">
        <is>
          <t>Peso (g)</t>
        </is>
      </c>
    </row>
    <row r="11" ht="16" customHeight="1">
      <c r="A11" s="9" t="inlineStr">
        <is>
          <t>Utilidades</t>
        </is>
      </c>
      <c r="B11" s="10" t="inlineStr">
        <is>
          <t>Grampeador com grampos</t>
        </is>
      </c>
      <c r="C11" s="11" t="n">
        <v>12</v>
      </c>
      <c r="D11" s="12" t="n">
        <v>1</v>
      </c>
      <c r="E11" s="10" t="inlineStr">
        <is>
          <t>conjunto</t>
        </is>
      </c>
      <c r="F11" s="13">
        <f>IF(D11=0,0,C11/D11)</f>
        <v/>
      </c>
      <c r="G11" s="10" t="inlineStr"/>
      <c r="I11" s="21" t="inlineStr">
        <is>
          <t>Granulado</t>
        </is>
      </c>
      <c r="J11" s="22" t="n">
        <v>5</v>
      </c>
    </row>
    <row r="12" ht="16" customHeight="1">
      <c r="A12" s="9" t="inlineStr">
        <is>
          <t>Utilidades</t>
        </is>
      </c>
      <c r="B12" s="10" t="inlineStr">
        <is>
          <t>Peneira</t>
        </is>
      </c>
      <c r="C12" s="11" t="n">
        <v>19.29</v>
      </c>
      <c r="D12" s="12" t="n">
        <v>1</v>
      </c>
      <c r="E12" s="10" t="inlineStr">
        <is>
          <t>unidade</t>
        </is>
      </c>
      <c r="F12" s="13">
        <f>IF(D12=0,0,C12/D12)</f>
        <v/>
      </c>
      <c r="G12" s="10" t="inlineStr"/>
      <c r="I12" s="23" t="inlineStr">
        <is>
          <t>Morango</t>
        </is>
      </c>
      <c r="J12" s="24" t="n">
        <v>16</v>
      </c>
    </row>
    <row r="13" ht="16" customHeight="1">
      <c r="A13" s="9" t="inlineStr">
        <is>
          <t>Ingredientes</t>
        </is>
      </c>
      <c r="B13" s="10" t="inlineStr">
        <is>
          <t>Chocolate em pó</t>
        </is>
      </c>
      <c r="C13" s="11" t="n">
        <v>39.8</v>
      </c>
      <c r="D13" s="12" t="n">
        <v>200</v>
      </c>
      <c r="E13" s="10" t="inlineStr">
        <is>
          <t>gramas</t>
        </is>
      </c>
      <c r="F13" s="13">
        <f>IF(D13=0,0,C13/D13)</f>
        <v/>
      </c>
      <c r="G13" s="10" t="inlineStr"/>
      <c r="I13" s="21" t="inlineStr">
        <is>
          <t>Biscoito Oreo</t>
        </is>
      </c>
      <c r="J13" s="22" t="n">
        <v>9</v>
      </c>
    </row>
    <row r="14" ht="16" customHeight="1">
      <c r="A14" s="9" t="inlineStr">
        <is>
          <t>Ingredientes</t>
        </is>
      </c>
      <c r="B14" s="10" t="inlineStr">
        <is>
          <t>Margarina Qualy</t>
        </is>
      </c>
      <c r="C14" s="11" t="n">
        <v>6.98</v>
      </c>
      <c r="D14" s="12" t="n">
        <v>250</v>
      </c>
      <c r="E14" s="10" t="inlineStr">
        <is>
          <t>gramas</t>
        </is>
      </c>
      <c r="F14" s="13">
        <f>IF(D14=0,0,C14/D14)</f>
        <v/>
      </c>
      <c r="G14" s="10" t="inlineStr"/>
      <c r="I14" s="23" t="inlineStr">
        <is>
          <t>Pacotão de Bis</t>
        </is>
      </c>
      <c r="J14" s="24" t="n">
        <v>6</v>
      </c>
    </row>
    <row r="15" ht="16" customHeight="1">
      <c r="A15" s="9" t="inlineStr">
        <is>
          <t>Ingredientes</t>
        </is>
      </c>
      <c r="B15" s="10" t="inlineStr">
        <is>
          <t>Paçoca</t>
        </is>
      </c>
      <c r="C15" s="11" t="n">
        <v>23.9</v>
      </c>
      <c r="D15" s="12" t="n">
        <v>700</v>
      </c>
      <c r="E15" s="10" t="inlineStr">
        <is>
          <t>gramas</t>
        </is>
      </c>
      <c r="F15" s="13">
        <f>IF(D15=0,0,C15/D15)</f>
        <v/>
      </c>
      <c r="G15" s="10" t="inlineStr"/>
      <c r="I15" s="21" t="inlineStr">
        <is>
          <t>Paçoca</t>
        </is>
      </c>
      <c r="J15" s="22" t="n">
        <v>5</v>
      </c>
    </row>
    <row r="16" ht="16" customHeight="1">
      <c r="A16" s="9" t="inlineStr">
        <is>
          <t>Ingredientes</t>
        </is>
      </c>
      <c r="B16" s="10" t="inlineStr">
        <is>
          <t>Leite em pó</t>
        </is>
      </c>
      <c r="C16" s="11" t="n">
        <v>8.99</v>
      </c>
      <c r="D16" s="12" t="n">
        <v>200</v>
      </c>
      <c r="E16" s="10" t="inlineStr">
        <is>
          <t>gramas</t>
        </is>
      </c>
      <c r="F16" s="13">
        <f>IF(D16=0,0,C16/D16)</f>
        <v/>
      </c>
      <c r="G16" s="10" t="inlineStr"/>
      <c r="I16" s="23" t="inlineStr">
        <is>
          <t>Leite em pó</t>
        </is>
      </c>
      <c r="J16" s="24" t="n">
        <v>9</v>
      </c>
    </row>
    <row r="17" ht="16" customHeight="1">
      <c r="A17" s="9" t="inlineStr">
        <is>
          <t>Ingredientes</t>
        </is>
      </c>
      <c r="B17" s="10" t="inlineStr">
        <is>
          <t>Biscoito Oreo</t>
        </is>
      </c>
      <c r="C17" s="11" t="n">
        <v>8.58</v>
      </c>
      <c r="D17" s="12" t="n">
        <v>180</v>
      </c>
      <c r="E17" s="10" t="inlineStr">
        <is>
          <t>gramas</t>
        </is>
      </c>
      <c r="F17" s="13">
        <f>IF(D17=0,0,C17/D17)</f>
        <v/>
      </c>
      <c r="G17" s="10" t="inlineStr"/>
    </row>
    <row r="18" ht="16" customHeight="1">
      <c r="A18" s="9" t="inlineStr">
        <is>
          <t>Ingredientes</t>
        </is>
      </c>
      <c r="B18" s="10" t="inlineStr">
        <is>
          <t>Leite condensado</t>
        </is>
      </c>
      <c r="C18" s="11" t="n">
        <v>29.12</v>
      </c>
      <c r="D18" s="12" t="n">
        <v>1580</v>
      </c>
      <c r="E18" s="10" t="inlineStr">
        <is>
          <t>gramas</t>
        </is>
      </c>
      <c r="F18" s="13">
        <f>IF(D18=0,0,C18/D18)</f>
        <v/>
      </c>
      <c r="G18" s="10" t="inlineStr"/>
    </row>
    <row r="19" ht="16" customHeight="1">
      <c r="A19" s="9" t="inlineStr">
        <is>
          <t>Ingredientes</t>
        </is>
      </c>
      <c r="B19" s="10" t="inlineStr">
        <is>
          <t>Creme de leite</t>
        </is>
      </c>
      <c r="C19" s="11" t="n">
        <v>14.96</v>
      </c>
      <c r="D19" s="12" t="n">
        <v>800</v>
      </c>
      <c r="E19" s="10" t="inlineStr">
        <is>
          <t>gramas</t>
        </is>
      </c>
      <c r="F19" s="13">
        <f>IF(D19=0,0,C19/D19)</f>
        <v/>
      </c>
      <c r="G19" s="10" t="inlineStr"/>
    </row>
    <row r="20" ht="16" customHeight="1">
      <c r="A20" s="9" t="inlineStr">
        <is>
          <t>Ingredientes</t>
        </is>
      </c>
      <c r="B20" s="10" t="inlineStr">
        <is>
          <t>Pacote de bala</t>
        </is>
      </c>
      <c r="C20" s="11" t="n">
        <v>7.98</v>
      </c>
      <c r="D20" s="12" t="n">
        <v>500</v>
      </c>
      <c r="E20" s="10" t="inlineStr">
        <is>
          <t>gramas</t>
        </is>
      </c>
      <c r="F20" s="13">
        <f>IF(D20=0,0,C20/D20)</f>
        <v/>
      </c>
      <c r="G20" s="10" t="inlineStr"/>
    </row>
    <row r="21" ht="16" customHeight="1">
      <c r="A21" s="9" t="inlineStr">
        <is>
          <t>Ingredientes</t>
        </is>
      </c>
      <c r="B21" s="10" t="inlineStr">
        <is>
          <t>Granulado</t>
        </is>
      </c>
      <c r="C21" s="11" t="n">
        <v>19.98</v>
      </c>
      <c r="D21" s="12" t="n">
        <v>400</v>
      </c>
      <c r="E21" s="10" t="inlineStr">
        <is>
          <t>gramas</t>
        </is>
      </c>
      <c r="F21" s="13">
        <f>IF(D21=0,0,C21/D21)</f>
        <v/>
      </c>
      <c r="G21" s="10" t="inlineStr"/>
    </row>
    <row r="22" ht="16" customHeight="1">
      <c r="A22" s="9" t="inlineStr">
        <is>
          <t>Ingredientes</t>
        </is>
      </c>
      <c r="B22" s="10" t="inlineStr">
        <is>
          <t>Pacotão de Bis</t>
        </is>
      </c>
      <c r="C22" s="11" t="n">
        <v>12.98</v>
      </c>
      <c r="D22" s="25" t="n">
        <v>201.6</v>
      </c>
      <c r="E22" s="10" t="inlineStr">
        <is>
          <t>gramas</t>
        </is>
      </c>
      <c r="F22" s="13">
        <f>IF(D22=0,0,C22/D22)</f>
        <v/>
      </c>
      <c r="G22" s="10" t="inlineStr"/>
    </row>
    <row r="23" ht="16" customHeight="1">
      <c r="A23" s="9" t="inlineStr">
        <is>
          <t>Ingredientes</t>
        </is>
      </c>
      <c r="B23" s="10" t="inlineStr">
        <is>
          <t>Morango</t>
        </is>
      </c>
      <c r="C23" s="11" t="n">
        <v>10.9</v>
      </c>
      <c r="D23" s="12" t="n">
        <v>220</v>
      </c>
      <c r="E23" s="10" t="inlineStr">
        <is>
          <t>gramas</t>
        </is>
      </c>
      <c r="F23" s="13">
        <f>IF(D23=0,0,C23/D23)</f>
        <v/>
      </c>
      <c r="G23" s="10" t="inlineStr"/>
    </row>
    <row r="24" ht="16" customHeight="1">
      <c r="A24" s="9" t="inlineStr">
        <is>
          <t>Ingredientes</t>
        </is>
      </c>
      <c r="B24" s="10" t="inlineStr">
        <is>
          <t>Barra de chocolate Fracionado</t>
        </is>
      </c>
      <c r="C24" s="11" t="n">
        <v>29.9</v>
      </c>
      <c r="D24" s="12" t="n">
        <v>1000</v>
      </c>
      <c r="E24" s="10" t="inlineStr">
        <is>
          <t>gramas</t>
        </is>
      </c>
      <c r="F24" s="13">
        <f>IF(D24=0,0,C24/D24)</f>
        <v/>
      </c>
      <c r="G24" s="10" t="inlineStr"/>
    </row>
    <row r="25" ht="16" customHeight="1">
      <c r="A25" s="9" t="inlineStr">
        <is>
          <t>Embalagens</t>
        </is>
      </c>
      <c r="B25" s="10" t="inlineStr">
        <is>
          <t>Adesivos</t>
        </is>
      </c>
      <c r="C25" s="11" t="n">
        <v>19.34</v>
      </c>
      <c r="D25" s="12" t="n">
        <v>70</v>
      </c>
      <c r="E25" s="10" t="inlineStr">
        <is>
          <t>unidades</t>
        </is>
      </c>
      <c r="F25" s="13">
        <f>IF(D25=0,0,C25/D25)</f>
        <v/>
      </c>
      <c r="G25" s="10" t="inlineStr"/>
    </row>
    <row r="26" ht="16" customHeight="1">
      <c r="A26" s="9" t="inlineStr">
        <is>
          <t>Embalagens</t>
        </is>
      </c>
      <c r="B26" s="10" t="inlineStr">
        <is>
          <t>Pote 250 ml</t>
        </is>
      </c>
      <c r="C26" s="11" t="n">
        <v>15</v>
      </c>
      <c r="D26" s="12" t="n">
        <v>24</v>
      </c>
      <c r="E26" s="10" t="inlineStr">
        <is>
          <t>unidades</t>
        </is>
      </c>
      <c r="F26" s="13">
        <f>IF(D26=0,0,C26/D26)</f>
        <v/>
      </c>
      <c r="G26" s="10" t="inlineStr"/>
    </row>
    <row r="27" ht="16" customHeight="1">
      <c r="A27" s="9" t="inlineStr">
        <is>
          <t>Embalagens</t>
        </is>
      </c>
      <c r="B27" s="10" t="inlineStr">
        <is>
          <t>Pote 140 ml</t>
        </is>
      </c>
      <c r="C27" s="11" t="n">
        <v>15.9</v>
      </c>
      <c r="D27" s="12" t="n">
        <v>25</v>
      </c>
      <c r="E27" s="10" t="inlineStr">
        <is>
          <t>unidades</t>
        </is>
      </c>
      <c r="F27" s="13">
        <f>IF(D27=0,0,C27/D27)</f>
        <v/>
      </c>
      <c r="G27" s="10" t="inlineStr"/>
    </row>
    <row r="28" ht="16" customHeight="1">
      <c r="A28" s="9" t="inlineStr">
        <is>
          <t>Embalagens</t>
        </is>
      </c>
      <c r="B28" s="10" t="inlineStr">
        <is>
          <t>Forminha de brigadeiro</t>
        </is>
      </c>
      <c r="C28" s="11" t="n">
        <v>3.5</v>
      </c>
      <c r="D28" s="12" t="n">
        <v>100</v>
      </c>
      <c r="E28" s="10" t="inlineStr">
        <is>
          <t>unidades</t>
        </is>
      </c>
      <c r="F28" s="13">
        <f>IF(D28=0,0,C28/D28)</f>
        <v/>
      </c>
      <c r="G28" s="10" t="inlineStr"/>
    </row>
    <row r="29" ht="16" customHeight="1">
      <c r="A29" s="9" t="inlineStr">
        <is>
          <t>Embalagens</t>
        </is>
      </c>
      <c r="B29" s="10" t="inlineStr">
        <is>
          <t>Colherzinhas</t>
        </is>
      </c>
      <c r="C29" s="11" t="n">
        <v>5.99</v>
      </c>
      <c r="D29" s="12" t="n">
        <v>50</v>
      </c>
      <c r="E29" s="10" t="inlineStr">
        <is>
          <t>unidades</t>
        </is>
      </c>
      <c r="F29" s="13">
        <f>IF(D29=0,0,C29/D29)</f>
        <v/>
      </c>
      <c r="G29" s="10" t="inlineStr"/>
    </row>
    <row r="30" ht="16" customHeight="1">
      <c r="A30" s="9" t="inlineStr">
        <is>
          <t>Embalagens</t>
        </is>
      </c>
      <c r="B30" s="10" t="inlineStr">
        <is>
          <t>Saco chup-chup</t>
        </is>
      </c>
      <c r="C30" s="11" t="n">
        <v>2.99</v>
      </c>
      <c r="D30" s="12" t="n">
        <v>100</v>
      </c>
      <c r="E30" s="10" t="inlineStr">
        <is>
          <t>unidades</t>
        </is>
      </c>
      <c r="F30" s="13">
        <f>IF(D30=0,0,C30/D30)</f>
        <v/>
      </c>
      <c r="G30" s="10" t="inlineStr"/>
    </row>
    <row r="31" ht="16" customHeight="1">
      <c r="A31" s="9" t="inlineStr">
        <is>
          <t>Embalagens</t>
        </is>
      </c>
      <c r="B31" s="10" t="inlineStr">
        <is>
          <t>Embalagem quadrada de brigadeiro</t>
        </is>
      </c>
      <c r="C31" s="11" t="n">
        <v>4.99</v>
      </c>
      <c r="D31" s="12" t="n">
        <v>10</v>
      </c>
      <c r="E31" s="10" t="inlineStr">
        <is>
          <t>unidades</t>
        </is>
      </c>
      <c r="F31" s="13">
        <f>IF(D31=0,0,C31/D31)</f>
        <v/>
      </c>
      <c r="G31" s="10" t="inlineStr"/>
    </row>
    <row r="32" ht="16" customHeight="1">
      <c r="A32" s="9" t="inlineStr">
        <is>
          <t>Embalagens</t>
        </is>
      </c>
      <c r="B32" s="10" t="inlineStr">
        <is>
          <t>Pote de brinde</t>
        </is>
      </c>
      <c r="C32" s="11" t="n">
        <v>6.5</v>
      </c>
      <c r="D32" s="12" t="n">
        <v>10</v>
      </c>
      <c r="E32" s="10" t="inlineStr">
        <is>
          <t>unidades</t>
        </is>
      </c>
      <c r="F32" s="13">
        <f>IF(D32=0,0,C32/D32)</f>
        <v/>
      </c>
      <c r="G32" s="10" t="inlineStr"/>
    </row>
    <row r="33" ht="16" customHeight="1">
      <c r="A33" s="9" t="inlineStr">
        <is>
          <t>Embalagens</t>
        </is>
      </c>
      <c r="B33" s="10" t="inlineStr">
        <is>
          <t>Saco Kraft</t>
        </is>
      </c>
      <c r="C33" s="11" t="n">
        <v>29.9</v>
      </c>
      <c r="D33" s="12" t="n">
        <v>50</v>
      </c>
      <c r="E33" s="10" t="inlineStr">
        <is>
          <t>unidades</t>
        </is>
      </c>
      <c r="F33" s="13">
        <f>IF(D33=0,0,C33/D33)</f>
        <v/>
      </c>
      <c r="G33" s="10" t="inlineStr"/>
    </row>
    <row r="34" ht="16" customHeight="1">
      <c r="A34" s="9" t="inlineStr">
        <is>
          <t>Embalagens</t>
        </is>
      </c>
      <c r="B34" s="10" t="inlineStr">
        <is>
          <t>Embalagem trufas</t>
        </is>
      </c>
      <c r="C34" s="11" t="n">
        <v>30</v>
      </c>
      <c r="D34" s="12" t="n">
        <v>300</v>
      </c>
      <c r="E34" s="10" t="inlineStr">
        <is>
          <t>unidades</t>
        </is>
      </c>
      <c r="F34" s="13">
        <f>IF(D34=0,0,C34/D34)</f>
        <v/>
      </c>
      <c r="G34" s="10" t="inlineStr"/>
    </row>
    <row r="35" ht="16" customHeight="1">
      <c r="A35" s="26" t="inlineStr">
        <is>
          <t>Embalagens</t>
        </is>
      </c>
      <c r="B35" s="27" t="inlineStr">
        <is>
          <t>Saco de confeitar GRANDE</t>
        </is>
      </c>
      <c r="C35" s="28" t="n">
        <v>20</v>
      </c>
      <c r="D35" s="29" t="n">
        <v>10</v>
      </c>
      <c r="E35" s="27" t="inlineStr">
        <is>
          <t>unidades</t>
        </is>
      </c>
      <c r="F35" s="30">
        <f>IF(D35=0,0,C35/D35)</f>
        <v/>
      </c>
      <c r="G35" s="27" t="inlineStr">
        <is>
          <t>Segunda compra</t>
        </is>
      </c>
    </row>
    <row r="36" ht="16" customHeight="1">
      <c r="A36" s="31" t="inlineStr">
        <is>
          <t>Utilidades</t>
        </is>
      </c>
      <c r="B36" s="32" t="inlineStr">
        <is>
          <t>Forma pra fazer as trufas (não descartável)</t>
        </is>
      </c>
      <c r="C36" s="33" t="n">
        <v>35.98</v>
      </c>
      <c r="D36" s="34" t="n">
        <v>2</v>
      </c>
      <c r="E36" s="32" t="inlineStr">
        <is>
          <t>formas</t>
        </is>
      </c>
      <c r="F36" s="35">
        <f>IF(D36=0,0,C36/D36)</f>
        <v/>
      </c>
      <c r="G36" s="32" t="inlineStr">
        <is>
          <t>Segunda compra - INVESTIMENTO, não descartável</t>
        </is>
      </c>
    </row>
    <row r="37" ht="16" customHeight="1">
      <c r="A37" s="36" t="inlineStr">
        <is>
          <t>Ingredientes</t>
        </is>
      </c>
      <c r="B37" s="37" t="inlineStr">
        <is>
          <t>Chocolate em pó</t>
        </is>
      </c>
      <c r="C37" s="38" t="n">
        <v>39.9</v>
      </c>
      <c r="D37" s="39" t="n">
        <v>200</v>
      </c>
      <c r="E37" s="37" t="inlineStr">
        <is>
          <t>gramas</t>
        </is>
      </c>
      <c r="F37" s="40">
        <f>IF(D37=0,0,C37/D37)</f>
        <v/>
      </c>
      <c r="G37" s="37" t="inlineStr">
        <is>
          <t>Terceira compra</t>
        </is>
      </c>
    </row>
    <row r="38" ht="16" customHeight="1">
      <c r="A38" s="36" t="inlineStr">
        <is>
          <t>Ingredientes</t>
        </is>
      </c>
      <c r="B38" s="37" t="inlineStr">
        <is>
          <t>Margarina Qualy</t>
        </is>
      </c>
      <c r="C38" s="38" t="n">
        <v>6.98</v>
      </c>
      <c r="D38" s="39" t="n">
        <v>250</v>
      </c>
      <c r="E38" s="37" t="inlineStr">
        <is>
          <t>gramas</t>
        </is>
      </c>
      <c r="F38" s="40">
        <f>IF(D38=0,0,C38/D38)</f>
        <v/>
      </c>
      <c r="G38" s="37" t="inlineStr">
        <is>
          <t>Terceira compra</t>
        </is>
      </c>
    </row>
    <row r="39" ht="16" customHeight="1">
      <c r="A39" s="41" t="inlineStr">
        <is>
          <t>Embalagens</t>
        </is>
      </c>
      <c r="B39" s="42" t="inlineStr">
        <is>
          <t>Caixa para cento de doces</t>
        </is>
      </c>
      <c r="C39" s="43" t="n">
        <v>10.47</v>
      </c>
      <c r="D39" s="44" t="n">
        <v>3</v>
      </c>
      <c r="E39" s="42" t="inlineStr">
        <is>
          <t>unidades</t>
        </is>
      </c>
      <c r="F39" s="45">
        <f>IF(D39=0,0,C39/D39)</f>
        <v/>
      </c>
      <c r="G39" s="42" t="inlineStr">
        <is>
          <t>Quarta compra</t>
        </is>
      </c>
    </row>
    <row r="40" ht="16" customHeight="1">
      <c r="A40" s="41" t="inlineStr">
        <is>
          <t>Ingredientes</t>
        </is>
      </c>
      <c r="B40" s="42" t="inlineStr">
        <is>
          <t>Granulado</t>
        </is>
      </c>
      <c r="C40" s="43" t="n">
        <v>19.99</v>
      </c>
      <c r="D40" s="44" t="n">
        <v>1</v>
      </c>
      <c r="E40" s="42" t="inlineStr">
        <is>
          <t>pacote</t>
        </is>
      </c>
      <c r="F40" s="45">
        <f>IF(D40=0,0,C40/D40)</f>
        <v/>
      </c>
      <c r="G40" s="42" t="inlineStr">
        <is>
          <t>Quarta compra (peso do pacote não informado)</t>
        </is>
      </c>
    </row>
    <row r="41" ht="16" customHeight="1">
      <c r="A41" s="41" t="inlineStr">
        <is>
          <t>Ingredientes</t>
        </is>
      </c>
      <c r="B41" s="42" t="inlineStr">
        <is>
          <t>Chocolate em pó 50%</t>
        </is>
      </c>
      <c r="C41" s="43" t="n">
        <v>38.99</v>
      </c>
      <c r="D41" s="44" t="n">
        <v>1</v>
      </c>
      <c r="E41" s="42" t="inlineStr">
        <is>
          <t>pacote</t>
        </is>
      </c>
      <c r="F41" s="45">
        <f>IF(D41=0,0,C41/D41)</f>
        <v/>
      </c>
      <c r="G41" s="42" t="inlineStr">
        <is>
          <t>Quarta compra (peso do pacote não informado)</t>
        </is>
      </c>
    </row>
    <row r="42" ht="16" customHeight="1">
      <c r="A42" s="41" t="inlineStr">
        <is>
          <t>Ingredientes</t>
        </is>
      </c>
      <c r="B42" s="42" t="inlineStr">
        <is>
          <t>Leite condensado</t>
        </is>
      </c>
      <c r="C42" s="43" t="n">
        <v>41.44</v>
      </c>
      <c r="D42" s="44" t="n">
        <v>2370</v>
      </c>
      <c r="E42" s="42" t="inlineStr">
        <is>
          <t>gramas</t>
        </is>
      </c>
      <c r="F42" s="45">
        <f>IF(D42=0,0,C42/D42)</f>
        <v/>
      </c>
      <c r="G42" s="42" t="inlineStr">
        <is>
          <t>Quarta compra (6 latas de 395 g)</t>
        </is>
      </c>
    </row>
    <row r="43" ht="16" customHeight="1">
      <c r="A43" s="41" t="inlineStr">
        <is>
          <t>Ingredientes</t>
        </is>
      </c>
      <c r="B43" s="42" t="inlineStr">
        <is>
          <t>Creme de leite</t>
        </is>
      </c>
      <c r="C43" s="43" t="n">
        <v>21.52</v>
      </c>
      <c r="D43" s="44" t="n">
        <v>1600</v>
      </c>
      <c r="E43" s="42" t="inlineStr">
        <is>
          <t>gramas</t>
        </is>
      </c>
      <c r="F43" s="45">
        <f>IF(D43=0,0,C43/D43)</f>
        <v/>
      </c>
      <c r="G43" s="42" t="inlineStr">
        <is>
          <t>Quarta compra (8 caixas de 200 g)</t>
        </is>
      </c>
    </row>
    <row r="44" ht="16" customHeight="1">
      <c r="A44" s="41" t="inlineStr">
        <is>
          <t>Embalagens</t>
        </is>
      </c>
      <c r="B44" s="42" t="inlineStr">
        <is>
          <t>Forminha de brigadeiro</t>
        </is>
      </c>
      <c r="C44" s="43" t="n">
        <v>6</v>
      </c>
      <c r="D44" s="44" t="n">
        <v>200</v>
      </c>
      <c r="E44" s="42" t="inlineStr">
        <is>
          <t>unidades</t>
        </is>
      </c>
      <c r="F44" s="45">
        <f>IF(D44=0,0,C44/D44)</f>
        <v/>
      </c>
      <c r="G44" s="42" t="inlineStr">
        <is>
          <t>Quarta compra</t>
        </is>
      </c>
    </row>
    <row r="45" ht="16" customHeight="1">
      <c r="A45" s="36" t="inlineStr">
        <is>
          <t>Utilidades</t>
        </is>
      </c>
      <c r="B45" s="37" t="inlineStr">
        <is>
          <t>Saco de confeitar</t>
        </is>
      </c>
      <c r="C45" s="38" t="n">
        <v>13.99</v>
      </c>
      <c r="D45" s="39" t="n">
        <v>25</v>
      </c>
      <c r="E45" s="37" t="inlineStr">
        <is>
          <t>unidades</t>
        </is>
      </c>
      <c r="F45" s="40">
        <f>IF(D45=0,0,C45/D45)</f>
        <v/>
      </c>
      <c r="G45" s="37" t="inlineStr">
        <is>
          <t>Quinta compra</t>
        </is>
      </c>
    </row>
    <row r="46" ht="16" customHeight="1">
      <c r="A46" s="36" t="inlineStr">
        <is>
          <t>Ingredientes</t>
        </is>
      </c>
      <c r="B46" s="37" t="inlineStr">
        <is>
          <t>Coco em flocos</t>
        </is>
      </c>
      <c r="C46" s="38" t="n">
        <v>25.99</v>
      </c>
      <c r="D46" s="39" t="n">
        <v>500</v>
      </c>
      <c r="E46" s="37" t="inlineStr">
        <is>
          <t>gramas</t>
        </is>
      </c>
      <c r="F46" s="40">
        <f>IF(D46=0,0,C46/D46)</f>
        <v/>
      </c>
      <c r="G46" s="37" t="inlineStr">
        <is>
          <t>Quinta compra</t>
        </is>
      </c>
    </row>
    <row r="47" ht="16" customHeight="1">
      <c r="A47" s="36" t="inlineStr">
        <is>
          <t>Ingredientes</t>
        </is>
      </c>
      <c r="B47" s="37" t="inlineStr">
        <is>
          <t>Biscoito Oreo</t>
        </is>
      </c>
      <c r="C47" s="38" t="n">
        <v>11.99</v>
      </c>
      <c r="D47" s="39" t="n">
        <v>270</v>
      </c>
      <c r="E47" s="37" t="inlineStr">
        <is>
          <t>gramas</t>
        </is>
      </c>
      <c r="F47" s="40">
        <f>IF(D47=0,0,C47/D47)</f>
        <v/>
      </c>
      <c r="G47" s="37" t="inlineStr">
        <is>
          <t>Quinta compra</t>
        </is>
      </c>
    </row>
    <row r="48" ht="16" customHeight="1">
      <c r="A48" s="36" t="inlineStr">
        <is>
          <t>Embalagens</t>
        </is>
      </c>
      <c r="B48" s="37" t="inlineStr">
        <is>
          <t>Pote redondo 150 ml</t>
        </is>
      </c>
      <c r="C48" s="38" t="n">
        <v>11.59</v>
      </c>
      <c r="D48" s="39" t="n">
        <v>1</v>
      </c>
      <c r="E48" s="37" t="inlineStr">
        <is>
          <t>pacote</t>
        </is>
      </c>
      <c r="F48" s="40">
        <f>IF(D48=0,0,C48/D48)</f>
        <v/>
      </c>
      <c r="G48" s="37" t="inlineStr">
        <is>
          <t>Quinta compra (qtd. do pacote não informada)</t>
        </is>
      </c>
    </row>
    <row r="49" ht="16" customHeight="1">
      <c r="A49" s="36" t="inlineStr">
        <is>
          <t>Embalagens</t>
        </is>
      </c>
      <c r="B49" s="37" t="inlineStr">
        <is>
          <t>Saco Kraft</t>
        </is>
      </c>
      <c r="C49" s="38" t="n">
        <v>14.99</v>
      </c>
      <c r="D49" s="39" t="n">
        <v>20</v>
      </c>
      <c r="E49" s="37" t="inlineStr">
        <is>
          <t>unidades</t>
        </is>
      </c>
      <c r="F49" s="40">
        <f>IF(D49=0,0,C49/D49)</f>
        <v/>
      </c>
      <c r="G49" s="37" t="inlineStr">
        <is>
          <t>Quinta compra</t>
        </is>
      </c>
    </row>
    <row r="50" ht="16" customHeight="1">
      <c r="A50" s="36" t="inlineStr">
        <is>
          <t>Utilidades</t>
        </is>
      </c>
      <c r="B50" s="37" t="inlineStr">
        <is>
          <t>Carimbo de brigadeiros</t>
        </is>
      </c>
      <c r="C50" s="38" t="n">
        <v>15.99</v>
      </c>
      <c r="D50" s="39" t="n">
        <v>1</v>
      </c>
      <c r="E50" s="37" t="inlineStr">
        <is>
          <t>unidade</t>
        </is>
      </c>
      <c r="F50" s="40">
        <f>IF(D50=0,0,C50/D50)</f>
        <v/>
      </c>
      <c r="G50" s="37" t="inlineStr">
        <is>
          <t>Quinta compra</t>
        </is>
      </c>
    </row>
    <row r="51" ht="16" customHeight="1">
      <c r="A51" s="36" t="inlineStr">
        <is>
          <t>Ingredientes</t>
        </is>
      </c>
      <c r="B51" s="37" t="inlineStr">
        <is>
          <t>Leite condensado</t>
        </is>
      </c>
      <c r="C51" s="38" t="n">
        <v>69.90000000000001</v>
      </c>
      <c r="D51" s="39" t="n">
        <v>3950</v>
      </c>
      <c r="E51" s="37" t="inlineStr">
        <is>
          <t>gramas</t>
        </is>
      </c>
      <c r="F51" s="40">
        <f>IF(D51=0,0,C51/D51)</f>
        <v/>
      </c>
      <c r="G51" s="37" t="inlineStr">
        <is>
          <t>Quinta compra (10 latas de 395 g)</t>
        </is>
      </c>
    </row>
    <row r="52" ht="16" customHeight="1">
      <c r="A52" s="36" t="inlineStr">
        <is>
          <t>Ingredientes</t>
        </is>
      </c>
      <c r="B52" s="37" t="inlineStr">
        <is>
          <t>Creme de leite</t>
        </is>
      </c>
      <c r="C52" s="38" t="n">
        <v>18.83</v>
      </c>
      <c r="D52" s="39" t="n">
        <v>1400</v>
      </c>
      <c r="E52" s="37" t="inlineStr">
        <is>
          <t>gramas</t>
        </is>
      </c>
      <c r="F52" s="40">
        <f>IF(D52=0,0,C52/D52)</f>
        <v/>
      </c>
      <c r="G52" s="37" t="inlineStr">
        <is>
          <t>Quinta compra (7 caixas de 200 g)</t>
        </is>
      </c>
    </row>
    <row r="53" ht="16" customHeight="1">
      <c r="A53" s="36" t="inlineStr">
        <is>
          <t>Embalagens</t>
        </is>
      </c>
      <c r="B53" s="37" t="inlineStr">
        <is>
          <t>Embalagem quadrada de brigadeiro</t>
        </is>
      </c>
      <c r="C53" s="38" t="n">
        <v>18</v>
      </c>
      <c r="D53" s="39" t="n">
        <v>15</v>
      </c>
      <c r="E53" s="37" t="inlineStr">
        <is>
          <t>unidades</t>
        </is>
      </c>
      <c r="F53" s="40">
        <f>IF(D53=0,0,C53/D53)</f>
        <v/>
      </c>
      <c r="G53" s="37" t="inlineStr">
        <is>
          <t>Quinta compra</t>
        </is>
      </c>
    </row>
    <row r="54" ht="16" customHeight="1">
      <c r="A54" s="41" t="inlineStr">
        <is>
          <t>Ingredientes</t>
        </is>
      </c>
      <c r="B54" s="42" t="inlineStr">
        <is>
          <t>Barra de chocolate</t>
        </is>
      </c>
      <c r="C54" s="43" t="n">
        <v>30</v>
      </c>
      <c r="D54" s="44" t="n">
        <v>1</v>
      </c>
      <c r="E54" s="42" t="inlineStr">
        <is>
          <t>unidade</t>
        </is>
      </c>
      <c r="F54" s="45">
        <f>IF(D54=0,0,C54/D54)</f>
        <v/>
      </c>
      <c r="G54" s="42" t="inlineStr">
        <is>
          <t>Sexta compra (peso não informado)</t>
        </is>
      </c>
    </row>
    <row r="56" ht="18" customHeight="1">
      <c r="A56" s="46" t="inlineStr">
        <is>
          <t>PRÓXIMO PASSO: envie as receitas para calcular o custo de cada doce e sugerir preço de venda.</t>
        </is>
      </c>
      <c r="B56" s="47" t="n"/>
      <c r="C56" s="47" t="n"/>
      <c r="D56" s="47" t="n"/>
      <c r="E56" s="47" t="n"/>
      <c r="F56" s="47" t="n"/>
      <c r="G56" s="47" t="n"/>
    </row>
  </sheetData>
  <autoFilter ref="A4:G54"/>
  <mergeCells count="5">
    <mergeCell ref="I4:J4"/>
    <mergeCell ref="A1:G1"/>
    <mergeCell ref="A56:G56"/>
    <mergeCell ref="A2:G2"/>
    <mergeCell ref="I1:J1"/>
  </mergeCells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A13B69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</cols>
  <sheetData>
    <row r="1">
      <c r="A1" s="48" t="inlineStr">
        <is>
          <t>GASTO POR COMPRA</t>
        </is>
      </c>
      <c r="B1" s="2" t="n"/>
      <c r="C1" s="2" t="n"/>
    </row>
    <row r="3">
      <c r="A3" s="49" t="inlineStr">
        <is>
          <t>Compra</t>
        </is>
      </c>
      <c r="B3" s="49" t="inlineStr">
        <is>
          <t>Itens</t>
        </is>
      </c>
      <c r="C3" s="49" t="inlineStr">
        <is>
          <t>Total (R$)</t>
        </is>
      </c>
    </row>
    <row r="4">
      <c r="A4" s="50" t="inlineStr">
        <is>
          <t>1ª — compra inicial</t>
        </is>
      </c>
      <c r="B4" s="51">
        <f>COUNTIFS('Compras e Custos'!G5:G54,"")</f>
        <v/>
      </c>
      <c r="C4" s="52">
        <f>SUMIFS('Compras e Custos'!C5:C54,'Compras e Custos'!G5:G54,"")</f>
        <v/>
      </c>
    </row>
    <row r="5">
      <c r="A5" s="50" t="inlineStr">
        <is>
          <t>2ª — segunda compra</t>
        </is>
      </c>
      <c r="B5" s="51">
        <f>COUNTIF('Compras e Custos'!G5:G54,"*Segunda*")</f>
        <v/>
      </c>
      <c r="C5" s="52">
        <f>SUMIF('Compras e Custos'!G5:G54,"*Segunda*",'Compras e Custos'!C5:C54)</f>
        <v/>
      </c>
    </row>
    <row r="6">
      <c r="A6" s="50" t="inlineStr">
        <is>
          <t>3ª — terceira compra</t>
        </is>
      </c>
      <c r="B6" s="51">
        <f>COUNTIF('Compras e Custos'!G5:G54,"*Terceira*")</f>
        <v/>
      </c>
      <c r="C6" s="52">
        <f>SUMIF('Compras e Custos'!G5:G54,"*Terceira*",'Compras e Custos'!C5:C54)</f>
        <v/>
      </c>
    </row>
    <row r="7">
      <c r="A7" s="50" t="inlineStr">
        <is>
          <t>4ª — quarta compra</t>
        </is>
      </c>
      <c r="B7" s="51">
        <f>COUNTIF('Compras e Custos'!G5:G54,"*Quarta*")</f>
        <v/>
      </c>
      <c r="C7" s="52">
        <f>SUMIF('Compras e Custos'!G5:G54,"*Quarta*",'Compras e Custos'!C5:C54)</f>
        <v/>
      </c>
    </row>
    <row r="8">
      <c r="A8" s="50" t="inlineStr">
        <is>
          <t>5ª — quinta compra</t>
        </is>
      </c>
      <c r="B8" s="51">
        <f>COUNTIF('Compras e Custos'!G5:G54,"*Quinta*")</f>
        <v/>
      </c>
      <c r="C8" s="52">
        <f>SUMIF('Compras e Custos'!G5:G54,"*Quinta*",'Compras e Custos'!C5:C54)</f>
        <v/>
      </c>
    </row>
    <row r="9">
      <c r="A9" s="50" t="inlineStr">
        <is>
          <t>6ª — sexta compra</t>
        </is>
      </c>
      <c r="B9" s="51">
        <f>COUNTIF('Compras e Custos'!G5:G54,"*Sexta*")</f>
        <v/>
      </c>
      <c r="C9" s="52">
        <f>SUMIF('Compras e Custos'!G5:G54,"*Sexta*",'Compras e Custos'!C5:C54)</f>
        <v/>
      </c>
    </row>
    <row r="10">
      <c r="A10" s="8" t="inlineStr">
        <is>
          <t>TOTAL GERAL</t>
        </is>
      </c>
      <c r="B10" s="8">
        <f>SUM(B4:B9)</f>
        <v/>
      </c>
      <c r="C10" s="53">
        <f>SUM(C4:C9)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2026-08-12T21:27:58Z</dcterms:created>
  <dcterms:modified xsi:type="dcterms:W3CDTF">2026-08-12T21:27:58Z</dcterms:modified>
</cp:coreProperties>
</file>